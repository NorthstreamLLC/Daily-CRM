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am &amp; KPI Targets" sheetId="2" state="visible" r:id="rId2"/>
    <sheet xmlns:r="http://schemas.openxmlformats.org/officeDocument/2006/relationships" name="Lists" sheetId="3" state="hidden" r:id="rId3"/>
    <sheet xmlns:r="http://schemas.openxmlformats.org/officeDocument/2006/relationships" name="Yuri - Daily Task" sheetId="4" state="visible" r:id="rId4"/>
    <sheet xmlns:r="http://schemas.openxmlformats.org/officeDocument/2006/relationships" name="Yuri - Book" sheetId="5" state="visible" r:id="rId5"/>
    <sheet xmlns:r="http://schemas.openxmlformats.org/officeDocument/2006/relationships" name="Yuri - FTD List" sheetId="6" state="visible" r:id="rId6"/>
    <sheet xmlns:r="http://schemas.openxmlformats.org/officeDocument/2006/relationships" name="Yuri - Stats" sheetId="7" state="visible" r:id="rId7"/>
    <sheet xmlns:r="http://schemas.openxmlformats.org/officeDocument/2006/relationships" name="Yuri - Activity Log" sheetId="8" state="visible" r:id="rId8"/>
  </sheets>
  <definedNames>
    <definedName name="_xlnm._FilterDatabase" localSheetId="4" hidden="1">'Yuri - Book'!$A$3:$AF$203</definedName>
    <definedName name="_xlnm._FilterDatabase" localSheetId="5" hidden="1">'Yuri - FTD List'!$A$4:$D$204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;($#,##0);-"/>
    <numFmt numFmtId="166" formatCode="0&quot; days&quot;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666666"/>
      <sz val="11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FF"/>
      <sz val="10"/>
    </font>
    <font>
      <name val="Arial"/>
      <b val="1"/>
      <color rgb="001F3864"/>
      <sz val="11"/>
    </font>
    <font>
      <name val="Arial"/>
      <b val="1"/>
      <color rgb="001F3864"/>
      <sz val="13"/>
    </font>
    <font>
      <name val="Arial"/>
      <i val="1"/>
      <color rgb="00666666"/>
      <sz val="8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6" fontId="4" fillId="0" borderId="1" pivotButton="0" quotePrefix="0" xfId="0"/>
    <xf numFmtId="164" fontId="8" fillId="0" borderId="1" pivotButton="0" quotePrefix="0" xfId="0"/>
    <xf numFmtId="165" fontId="4" fillId="0" borderId="1" pivotButton="0" quotePrefix="0" xfId="0"/>
    <xf numFmtId="164" fontId="0" fillId="0" borderId="0" pivotButton="0" quotePrefix="0" xfId="0"/>
    <xf numFmtId="0" fontId="6" fillId="0" borderId="0" applyAlignment="1" pivotButton="0" quotePrefix="0" xfId="0">
      <alignment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9" fillId="0" borderId="0" applyAlignment="1" pivotButton="0" quotePrefix="0" xfId="0">
      <alignment horizontal="right"/>
    </xf>
    <xf numFmtId="165" fontId="5" fillId="0" borderId="1" pivotButton="0" quotePrefix="0" xfId="0"/>
    <xf numFmtId="0" fontId="10" fillId="0" borderId="1" applyAlignment="1" pivotButton="0" quotePrefix="0" xfId="0">
      <alignment horizontal="center"/>
    </xf>
    <xf numFmtId="165" fontId="10" fillId="0" borderId="1" applyAlignment="1" pivotButton="0" quotePrefix="0" xfId="0">
      <alignment horizontal="center"/>
    </xf>
    <xf numFmtId="0" fontId="11" fillId="0" borderId="0" applyAlignment="1" pivotButton="0" quotePrefix="0" xfId="0">
      <alignment wrapText="1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12" fillId="0" borderId="1" pivotButton="0" quotePrefix="0" xfId="0"/>
    <xf numFmtId="0" fontId="9" fillId="0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Daily Gamba — Acquisition CRM (Yuri)</t>
        </is>
      </c>
    </row>
    <row r="3">
      <c r="B3" s="2" t="inlineStr">
        <is>
          <t>Same structure used company-wide - every rep gets their own copy of this file.</t>
        </is>
      </c>
    </row>
    <row r="5" ht="28" customHeight="1">
      <c r="B5" s="3" t="inlineStr"/>
      <c r="C5" s="4" t="inlineStr"/>
    </row>
    <row r="6">
      <c r="B6" s="5" t="inlineStr">
        <is>
          <t>What's in this file</t>
        </is>
      </c>
    </row>
    <row r="7" ht="28" customHeight="1">
      <c r="B7" s="3" t="inlineStr">
        <is>
          <t>Yuri - Book</t>
        </is>
      </c>
      <c r="C7" s="4" t="inlineStr">
        <is>
          <t>— His full player database. Every player he owns, one row each. Status drives everything else automatically.</t>
        </is>
      </c>
    </row>
    <row r="8" ht="28" customHeight="1">
      <c r="B8" s="3" t="inlineStr">
        <is>
          <t>Yuri - Daily Task</t>
        </is>
      </c>
      <c r="C8" s="4" t="inlineStr">
        <is>
          <t>— Auto-generated: exactly who he needs to contact today. Sorted by whoever he has gone longest without talking to - that player is always row 1. He works this top to bottom, no interpretation needed.</t>
        </is>
      </c>
    </row>
    <row r="9" ht="28" customHeight="1">
      <c r="B9" s="3" t="inlineStr">
        <is>
          <t>Yuri - Stats</t>
        </is>
      </c>
      <c r="C9" s="4" t="inlineStr">
        <is>
          <t>— His personal scoreboard: total list vs. active list, VIP transfers, wager, and today's Active Leads/VIP Transfers/FTD vs. target.</t>
        </is>
      </c>
    </row>
    <row r="10" ht="28" customHeight="1">
      <c r="B10" s="3" t="inlineStr">
        <is>
          <t>Team &amp; KPI Targets</t>
        </is>
      </c>
      <c r="C10" s="4" t="inlineStr">
        <is>
          <t>— His daily KPI targets (editable).</t>
        </is>
      </c>
    </row>
    <row r="11" ht="28" customHeight="1">
      <c r="B11" s="3" t="inlineStr"/>
      <c r="C11" s="4" t="inlineStr"/>
    </row>
    <row r="12">
      <c r="B12" s="5" t="inlineStr">
        <is>
          <t>How the automation works</t>
        </is>
      </c>
    </row>
    <row r="13" ht="28" customHeight="1">
      <c r="B13" s="3" t="inlineStr">
        <is>
          <t>Status (dropdown)</t>
        </is>
      </c>
      <c r="C13" s="4" t="inlineStr">
        <is>
          <t>— He sets this per player: Initial Contact -&gt; Interested -&gt; VIP Transferred -&gt; KYC Complete -&gt; First Deposit -&gt; Active. Or Reactivation Queue / Dead Lead if they go cold. This is the main funnel and is independent from the VIP Team column below.</t>
        </is>
      </c>
    </row>
    <row r="14" ht="28" customHeight="1">
      <c r="B14" s="3" t="inlineStr">
        <is>
          <t>Transferred to VIP Team (dropdown, Book tab only)</t>
        </is>
      </c>
      <c r="C14" s="4" t="inlineStr">
        <is>
          <t>— Separate from Status. Yes / No. Marks whether a player has been handed off to the in-house VIP team - can happen while Status stays Active (or anything else), since the two track different things at the same time. Setting it to Yes quietly starts a Day 1/7/14 check-in cadence behind the scenes (no extra columns to manage) which stops automatically after the 3rd check-in.</t>
        </is>
      </c>
    </row>
    <row r="15" ht="28" customHeight="1">
      <c r="B15" s="3" t="inlineStr">
        <is>
          <t>Health (Book tab only)</t>
        </is>
      </c>
      <c r="C15" s="4" t="inlineStr">
        <is>
          <t>— A glance indicator, not what decides order. Yellow = early funnel, in progress. Green = converted and paying (First Deposit / Active). Red = overdue on follow-up, or Reactivation Queue. Black = dead lead. The Daily Task tab ignores this and sorts by most overdue instead - simpler and no colors to interpret.</t>
        </is>
      </c>
    </row>
    <row r="16" ht="28" customHeight="1">
      <c r="B16" s="3" t="inlineStr">
        <is>
          <t>Next Action</t>
        </is>
      </c>
      <c r="C16" s="4" t="inlineStr">
        <is>
          <t>— Auto-calculated from Status. Tells him exactly what to do, no guessing.</t>
        </is>
      </c>
    </row>
    <row r="17" ht="28" customHeight="1">
      <c r="B17" s="3" t="inlineStr">
        <is>
          <t>Next Follow-Up Date</t>
        </is>
      </c>
      <c r="C17" s="4" t="inlineStr">
        <is>
          <t>— Auto-calculated from Status + Last Contact Date, using the Day 0/1/3/7/14/30 cadence.</t>
        </is>
      </c>
    </row>
    <row r="18" ht="28" customHeight="1">
      <c r="B18" s="3" t="inlineStr">
        <is>
          <t>Daily Task tab</t>
        </is>
      </c>
      <c r="C18" s="4" t="inlineStr">
        <is>
          <t>— Pulls in anyone whose Next Follow-Up Date is today or earlier, plus anyone who still has no Roobet Username (the #1 blocker to fix) - those clear once he's contacted them today, then come right back tomorrow if still no sign-up. Sorted with the longest-neglected player first.</t>
        </is>
      </c>
    </row>
    <row r="19" ht="28" customHeight="1">
      <c r="B19" s="3" t="inlineStr">
        <is>
          <t>Follow-Up Attempts (Book tab)</t>
        </is>
      </c>
      <c r="C19" s="4" t="inlineStr">
        <is>
          <t>— Counts how many follow-ups he's logged on a player who still hasn't signed up for Roobet. At 3 attempts, Next Action flags "READY FOR DEAD LEAD" as a prompt - marking the Status is still his call. Resets to 0 automatically once they sign up.</t>
        </is>
      </c>
    </row>
    <row r="20" ht="28" customHeight="1">
      <c r="B20" s="3" t="inlineStr">
        <is>
          <t>Dead Lead Reactivation (2nd block on Daily Task)</t>
        </is>
      </c>
      <c r="C20" s="4" t="inlineStr">
        <is>
          <t>— Every Dead Lead shows up here right away, ranked by Next Retarget Date (soonest first). A row only turns red once that date actually arrives (~30 days after last contact) - that's the signal to act. Kept separate from the main queue so dead leads never bury a fresh, hot lead.</t>
        </is>
      </c>
    </row>
    <row r="21" ht="28" customHeight="1">
      <c r="B21" s="3" t="inlineStr">
        <is>
          <t>VIP Team check-ins</t>
        </is>
      </c>
      <c r="C21" s="4" t="inlineStr">
        <is>
          <t>— Once he sets Transferred to VIP Team to "Yes," he gets a Day 1/7/14 check-in prompt (did they deposit, are they active with the VIP team, do they need help). Stops automatically after the 3rd check-in - nothing to remember to switch off. Daily Task surfaces the player whenever either this cadence or their normal Status cadence is due.</t>
        </is>
      </c>
    </row>
    <row r="22" ht="28" customHeight="1">
      <c r="B22" s="3" t="inlineStr"/>
      <c r="C22" s="4" t="inlineStr"/>
    </row>
    <row r="23">
      <c r="B23" s="5" t="inlineStr">
        <is>
          <t>Two things formulas can't do (need one small script)</t>
        </is>
      </c>
    </row>
    <row r="24" ht="28" customHeight="1">
      <c r="B24" s="3" t="inlineStr">
        <is>
          <t>Date Assigned</t>
        </is>
      </c>
      <c r="C24" s="4" t="inlineStr">
        <is>
          <t>— Ideally freezes automatically the moment a new player is added. In this pilot it's a manual date entry; I've got an Apps Script ready that automates it once we lock the structure.</t>
        </is>
      </c>
    </row>
    <row r="25" ht="28" customHeight="1">
      <c r="B25" s="3" t="inlineStr">
        <is>
          <t>Last Contact Date</t>
        </is>
      </c>
      <c r="C25" s="4" t="inlineStr">
        <is>
          <t>— Ideally auto-updates when he checks a player off the Daily Task list. Same story - manual for now, automatable with the same script.</t>
        </is>
      </c>
    </row>
    <row r="26" ht="28" customHeight="1">
      <c r="B26" s="3" t="inlineStr"/>
      <c r="C26" s="4" t="inlineStr"/>
    </row>
    <row r="27">
      <c r="B27" s="5" t="inlineStr">
        <is>
          <t>Next step</t>
        </is>
      </c>
    </row>
    <row r="28" ht="28" customHeight="1">
      <c r="B28" s="3" t="inlineStr">
        <is>
          <t>Adding this rep to the Master Dashboard</t>
        </is>
      </c>
      <c r="C28" s="4" t="inlineStr">
        <is>
          <t>— Once this file is a real Google Sheet and shared with Claude, send the Sheet URL and it gets added to the company-wide Master Dashboard automatically - no other changes needed.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4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Daily KPI Targets</t>
        </is>
      </c>
    </row>
    <row r="2">
      <c r="A2" s="6" t="inlineStr">
        <is>
          <t>Blue cells are editable inputs. This is the official 4-metric KPI framework - everything else (Follow-Ups, KYC Completed, etc.) is tracked internally on the Stats tab but isn't a formal target here. This tab is personal to this file only - other reps' targets live in their own files, not here.</t>
        </is>
      </c>
    </row>
    <row r="4" ht="32" customHeight="1">
      <c r="A4" s="7" t="inlineStr">
        <is>
          <t>Name</t>
        </is>
      </c>
      <c r="B4" s="7" t="inlineStr">
        <is>
          <t>Role</t>
        </is>
      </c>
      <c r="C4" s="7" t="inlineStr">
        <is>
          <t>Platforms</t>
        </is>
      </c>
      <c r="D4" s="7" t="inlineStr">
        <is>
          <t>Daily Outreach
(static, not tracked)</t>
        </is>
      </c>
      <c r="E4" s="7" t="inlineStr">
        <is>
          <t>Active Leads
Target (must log)</t>
        </is>
      </c>
      <c r="F4" s="7" t="inlineStr">
        <is>
          <t>VIP Transfers
Target</t>
        </is>
      </c>
      <c r="G4" s="7" t="inlineStr">
        <is>
          <t>Daily FTD
Target</t>
        </is>
      </c>
    </row>
    <row r="5" ht="30" customHeight="1">
      <c r="A5" s="8" t="inlineStr">
        <is>
          <t>Yuri</t>
        </is>
      </c>
      <c r="B5" s="9" t="inlineStr">
        <is>
          <t>Acquisition</t>
        </is>
      </c>
      <c r="C5" s="9" t="inlineStr">
        <is>
          <t>Discord, Telegram, Twitter, Instagram</t>
        </is>
      </c>
      <c r="D5" s="10" t="n">
        <v>100</v>
      </c>
      <c r="E5" s="10" t="n">
        <v>20</v>
      </c>
      <c r="F5" s="10" t="n">
        <v>3</v>
      </c>
      <c r="G5" s="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Reps</t>
        </is>
      </c>
      <c r="B1" t="inlineStr">
        <is>
          <t>SourceChannels</t>
        </is>
      </c>
      <c r="C1" t="inlineStr">
        <is>
          <t>Status</t>
        </is>
      </c>
      <c r="D1" t="inlineStr">
        <is>
          <t>NextAction</t>
        </is>
      </c>
      <c r="E1" t="inlineStr">
        <is>
          <t>OffsetDays</t>
        </is>
      </c>
    </row>
    <row r="2">
      <c r="A2" t="inlineStr">
        <is>
          <t>Yuri</t>
        </is>
      </c>
      <c r="B2" t="inlineStr">
        <is>
          <t>Instagram</t>
        </is>
      </c>
      <c r="C2" t="inlineStr">
        <is>
          <t>Initial Contact</t>
        </is>
      </c>
      <c r="D2" t="inlineStr">
        <is>
          <t>Day 1: Check Account, Check KYC, Help Deposit</t>
        </is>
      </c>
      <c r="E2" t="n">
        <v>1</v>
      </c>
    </row>
    <row r="3">
      <c r="A3" t="inlineStr">
        <is>
          <t>Tuna</t>
        </is>
      </c>
      <c r="B3" t="inlineStr">
        <is>
          <t>Discord</t>
        </is>
      </c>
      <c r="C3" t="inlineStr">
        <is>
          <t>Interested</t>
        </is>
      </c>
      <c r="D3" t="inlineStr">
        <is>
          <t>Check Account, Check KYC, Help Deposit</t>
        </is>
      </c>
      <c r="E3" t="n">
        <v>1</v>
      </c>
    </row>
    <row r="4">
      <c r="A4" t="inlineStr">
        <is>
          <t>Plat</t>
        </is>
      </c>
      <c r="B4" t="inlineStr">
        <is>
          <t>Twitter</t>
        </is>
      </c>
      <c r="C4" t="inlineStr">
        <is>
          <t>VIP Transferred</t>
        </is>
      </c>
      <c r="D4" t="inlineStr">
        <is>
          <t>Day 1 / Day 2 / Day 3 check-ins - urgent, help them finish KYC and lock in their first deposit. 3 attempts with still no deposit -&gt; auto Dead Lead.</t>
        </is>
      </c>
      <c r="E4" t="inlineStr">
        <is>
          <t>1/2/3</t>
        </is>
      </c>
    </row>
    <row r="5">
      <c r="A5" t="inlineStr">
        <is>
          <t>Chella</t>
        </is>
      </c>
      <c r="B5" t="inlineStr">
        <is>
          <t>Telegram</t>
        </is>
      </c>
      <c r="C5" t="inlineStr">
        <is>
          <t>KYC Complete</t>
        </is>
      </c>
      <c r="D5" t="inlineStr">
        <is>
          <t>Help Deposit / Confirm Deposit Pending</t>
        </is>
      </c>
      <c r="E5" t="n">
        <v>1</v>
      </c>
    </row>
    <row r="6">
      <c r="A6" t="inlineStr">
        <is>
          <t>Moneyheist</t>
        </is>
      </c>
      <c r="B6" t="inlineStr">
        <is>
          <t>SlotEssentials</t>
        </is>
      </c>
      <c r="C6" t="inlineStr">
        <is>
          <t>First Deposit</t>
        </is>
      </c>
      <c r="D6" t="inlineStr">
        <is>
          <t>Day 3: Confirm Playing, Resolve Issues</t>
        </is>
      </c>
      <c r="E6" t="n">
        <v>3</v>
      </c>
    </row>
    <row r="7">
      <c r="A7" t="inlineStr">
        <is>
          <t>Seb</t>
        </is>
      </c>
      <c r="B7" t="inlineStr">
        <is>
          <t>Other</t>
        </is>
      </c>
      <c r="C7" t="inlineStr">
        <is>
          <t>Active</t>
        </is>
      </c>
      <c r="D7" t="inlineStr">
        <is>
          <t>Actively playing - check in periodically, encourage continued play. Hand to the VIP Team (separate column) when warranted, or move to Reactivation Queue if they go quiet.</t>
        </is>
      </c>
      <c r="E7" t="n">
        <v>14</v>
      </c>
    </row>
    <row r="8">
      <c r="A8" t="inlineStr">
        <is>
          <t>Jordan</t>
        </is>
      </c>
      <c r="C8" t="inlineStr">
        <is>
          <t>Reactivation Queue</t>
        </is>
      </c>
      <c r="D8" t="inlineStr">
        <is>
          <t>Reactivation outreach - win them back</t>
        </is>
      </c>
      <c r="E8" t="n">
        <v>3</v>
      </c>
    </row>
    <row r="9">
      <c r="A9" t="inlineStr">
        <is>
          <t>Seanok</t>
        </is>
      </c>
      <c r="C9" t="inlineStr">
        <is>
          <t>Dead Lead</t>
        </is>
      </c>
      <c r="D9" t="inlineStr">
        <is>
          <t>Re-target (every ~30 days): reach back out, see if anything changed. Update status if it goes anywhere.</t>
        </is>
      </c>
      <c r="E9" t="n">
        <v>30</v>
      </c>
    </row>
    <row r="10">
      <c r="A10" t="inlineStr">
        <is>
          <t>Prime</t>
        </is>
      </c>
      <c r="C10" t="inlineStr">
        <is>
          <t>Potential Lead</t>
        </is>
      </c>
      <c r="D10" t="inlineStr">
        <is>
          <t>Re-target (every 7 days): reach back out, see if they're ready to pick things back up.</t>
        </is>
      </c>
      <c r="E10" t="n">
        <v>7</v>
      </c>
    </row>
    <row r="11">
      <c r="A11" t="inlineStr">
        <is>
          <t>Daily</t>
        </is>
      </c>
    </row>
    <row r="12">
      <c r="A12" t="inlineStr">
        <is>
          <t>Gwen</t>
        </is>
      </c>
    </row>
    <row r="13">
      <c r="A13" t="inlineStr">
        <is>
          <t>Miko</t>
        </is>
      </c>
    </row>
    <row r="14">
      <c r="A14" t="inlineStr">
        <is>
          <t>Concept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hidden="1" width="13" customWidth="1" min="2" max="2"/>
    <col width="10" customWidth="1" min="3" max="3"/>
    <col width="20" customWidth="1" min="4" max="4"/>
    <col width="12" customWidth="1" min="5" max="5"/>
    <col width="10" customWidth="1" min="6" max="6"/>
    <col width="12" customWidth="1" min="7" max="7"/>
    <col width="16" customWidth="1" min="8" max="8"/>
    <col width="16" customWidth="1" min="9" max="9"/>
    <col width="10" customWidth="1" min="10" max="10"/>
    <col width="34" customWidth="1" min="11" max="11"/>
    <col width="12" customWidth="1" min="12" max="12"/>
    <col width="26" customWidth="1" min="13" max="13"/>
  </cols>
  <sheetData>
    <row r="1">
      <c r="A1" s="1" t="inlineStr">
        <is>
          <t>Yuri's Daily Task Queue</t>
        </is>
      </c>
    </row>
    <row r="2">
      <c r="A2" s="6" t="inlineStr">
        <is>
          <t>Auto-pulled from his Book. Anyone overdue or due today, ranked. Work top to bottom - no thinking, just execute.</t>
        </is>
      </c>
    </row>
    <row r="4" ht="32" customHeight="1">
      <c r="A4" s="7" t="inlineStr">
        <is>
          <t>Task Complete</t>
        </is>
      </c>
      <c r="B4" s="7" t="inlineStr">
        <is>
          <t>Match Row</t>
        </is>
      </c>
      <c r="C4" s="7" t="inlineStr">
        <is>
          <t>Player ID</t>
        </is>
      </c>
      <c r="D4" s="7" t="inlineStr">
        <is>
          <t>Player Name</t>
        </is>
      </c>
      <c r="E4" s="7" t="inlineStr">
        <is>
          <t>Due Date</t>
        </is>
      </c>
      <c r="F4" s="7" t="inlineStr">
        <is>
          <t>Owner</t>
        </is>
      </c>
      <c r="G4" s="7" t="inlineStr">
        <is>
          <t>Source</t>
        </is>
      </c>
      <c r="H4" s="7" t="inlineStr">
        <is>
          <t>Roobet Username</t>
        </is>
      </c>
      <c r="I4" s="7" t="inlineStr">
        <is>
          <t>Status
(pick to update)</t>
        </is>
      </c>
      <c r="J4" s="7" t="inlineStr">
        <is>
          <t>Health</t>
        </is>
      </c>
      <c r="K4" s="7" t="inlineStr">
        <is>
          <t>Required Action</t>
        </is>
      </c>
      <c r="L4" s="7" t="inlineStr">
        <is>
          <t>Days Since
Last Contact</t>
        </is>
      </c>
      <c r="M4" s="7" t="inlineStr">
        <is>
          <t>Notes</t>
        </is>
      </c>
    </row>
    <row r="5">
      <c r="A5" s="11" t="b">
        <v>0</v>
      </c>
      <c r="B5" s="11">
        <f>IFERROR(MATCH(1,'Yuri - Book'!$S$4:$S$203,0)+4-1,"")</f>
        <v/>
      </c>
      <c r="C5" s="11">
        <f>IF($B5="","",INDEX('Yuri - Book'!$A:$A,$B5))</f>
        <v/>
      </c>
      <c r="D5" s="11">
        <f>IF($B5="","",INDEX('Yuri - Book'!$B:$B,$B5))</f>
        <v/>
      </c>
      <c r="E5" s="12">
        <f>IF($B5="","",INDEX('Yuri - Book'!$J:$J,$B5))</f>
        <v/>
      </c>
      <c r="F5" s="11">
        <f>IF($B5="","","Yuri")</f>
        <v/>
      </c>
      <c r="G5" s="11">
        <f>IF($B5="","",INDEX('Yuri - Book'!$C:$C,$B5))</f>
        <v/>
      </c>
      <c r="H5" s="11">
        <f>IF($B5="","",INDEX('Yuri - Book'!$D:$D,$B5))</f>
        <v/>
      </c>
      <c r="I5" s="11">
        <f>IF($B5="","",INDEX('Yuri - Book'!$E:$E,$B5))</f>
        <v/>
      </c>
      <c r="J5" s="11">
        <f>IF($B5="","",INDEX('Yuri - Book'!$F:$F,$B5))</f>
        <v/>
      </c>
      <c r="K5" s="11">
        <f>IF($B5="","",INDEX('Yuri - Book'!$K:$K,$B5))</f>
        <v/>
      </c>
      <c r="L5" s="13">
        <f>IF($B5="","",ROUND(INDEX('Yuri - Book'!$Q:$Q,$B5),0))</f>
        <v/>
      </c>
      <c r="M5" s="11">
        <f>IF($B5="","",INDEX('Yuri - Book'!$P:$P,$B5))</f>
        <v/>
      </c>
    </row>
    <row r="6">
      <c r="A6" s="11" t="b">
        <v>0</v>
      </c>
      <c r="B6" s="11">
        <f>IFERROR(MATCH(2,'Yuri - Book'!$S$4:$S$203,0)+4-1,"")</f>
        <v/>
      </c>
      <c r="C6" s="11">
        <f>IF($B6="","",INDEX('Yuri - Book'!$A:$A,$B6))</f>
        <v/>
      </c>
      <c r="D6" s="11">
        <f>IF($B6="","",INDEX('Yuri - Book'!$B:$B,$B6))</f>
        <v/>
      </c>
      <c r="E6" s="12">
        <f>IF($B6="","",INDEX('Yuri - Book'!$J:$J,$B6))</f>
        <v/>
      </c>
      <c r="F6" s="11">
        <f>IF($B6="","","Yuri")</f>
        <v/>
      </c>
      <c r="G6" s="11">
        <f>IF($B6="","",INDEX('Yuri - Book'!$C:$C,$B6))</f>
        <v/>
      </c>
      <c r="H6" s="11">
        <f>IF($B6="","",INDEX('Yuri - Book'!$D:$D,$B6))</f>
        <v/>
      </c>
      <c r="I6" s="11">
        <f>IF($B6="","",INDEX('Yuri - Book'!$E:$E,$B6))</f>
        <v/>
      </c>
      <c r="J6" s="11">
        <f>IF($B6="","",INDEX('Yuri - Book'!$F:$F,$B6))</f>
        <v/>
      </c>
      <c r="K6" s="11">
        <f>IF($B6="","",INDEX('Yuri - Book'!$K:$K,$B6))</f>
        <v/>
      </c>
      <c r="L6" s="13">
        <f>IF($B6="","",ROUND(INDEX('Yuri - Book'!$Q:$Q,$B6),0))</f>
        <v/>
      </c>
      <c r="M6" s="11">
        <f>IF($B6="","",INDEX('Yuri - Book'!$P:$P,$B6))</f>
        <v/>
      </c>
    </row>
    <row r="7">
      <c r="A7" s="11" t="b">
        <v>0</v>
      </c>
      <c r="B7" s="11">
        <f>IFERROR(MATCH(3,'Yuri - Book'!$S$4:$S$203,0)+4-1,"")</f>
        <v/>
      </c>
      <c r="C7" s="11">
        <f>IF($B7="","",INDEX('Yuri - Book'!$A:$A,$B7))</f>
        <v/>
      </c>
      <c r="D7" s="11">
        <f>IF($B7="","",INDEX('Yuri - Book'!$B:$B,$B7))</f>
        <v/>
      </c>
      <c r="E7" s="12">
        <f>IF($B7="","",INDEX('Yuri - Book'!$J:$J,$B7))</f>
        <v/>
      </c>
      <c r="F7" s="11">
        <f>IF($B7="","","Yuri")</f>
        <v/>
      </c>
      <c r="G7" s="11">
        <f>IF($B7="","",INDEX('Yuri - Book'!$C:$C,$B7))</f>
        <v/>
      </c>
      <c r="H7" s="11">
        <f>IF($B7="","",INDEX('Yuri - Book'!$D:$D,$B7))</f>
        <v/>
      </c>
      <c r="I7" s="11">
        <f>IF($B7="","",INDEX('Yuri - Book'!$E:$E,$B7))</f>
        <v/>
      </c>
      <c r="J7" s="11">
        <f>IF($B7="","",INDEX('Yuri - Book'!$F:$F,$B7))</f>
        <v/>
      </c>
      <c r="K7" s="11">
        <f>IF($B7="","",INDEX('Yuri - Book'!$K:$K,$B7))</f>
        <v/>
      </c>
      <c r="L7" s="13">
        <f>IF($B7="","",ROUND(INDEX('Yuri - Book'!$Q:$Q,$B7),0))</f>
        <v/>
      </c>
      <c r="M7" s="11">
        <f>IF($B7="","",INDEX('Yuri - Book'!$P:$P,$B7))</f>
        <v/>
      </c>
    </row>
    <row r="8">
      <c r="A8" s="11" t="b">
        <v>0</v>
      </c>
      <c r="B8" s="11">
        <f>IFERROR(MATCH(4,'Yuri - Book'!$S$4:$S$203,0)+4-1,"")</f>
        <v/>
      </c>
      <c r="C8" s="11">
        <f>IF($B8="","",INDEX('Yuri - Book'!$A:$A,$B8))</f>
        <v/>
      </c>
      <c r="D8" s="11">
        <f>IF($B8="","",INDEX('Yuri - Book'!$B:$B,$B8))</f>
        <v/>
      </c>
      <c r="E8" s="12">
        <f>IF($B8="","",INDEX('Yuri - Book'!$J:$J,$B8))</f>
        <v/>
      </c>
      <c r="F8" s="11">
        <f>IF($B8="","","Yuri")</f>
        <v/>
      </c>
      <c r="G8" s="11">
        <f>IF($B8="","",INDEX('Yuri - Book'!$C:$C,$B8))</f>
        <v/>
      </c>
      <c r="H8" s="11">
        <f>IF($B8="","",INDEX('Yuri - Book'!$D:$D,$B8))</f>
        <v/>
      </c>
      <c r="I8" s="11">
        <f>IF($B8="","",INDEX('Yuri - Book'!$E:$E,$B8))</f>
        <v/>
      </c>
      <c r="J8" s="11">
        <f>IF($B8="","",INDEX('Yuri - Book'!$F:$F,$B8))</f>
        <v/>
      </c>
      <c r="K8" s="11">
        <f>IF($B8="","",INDEX('Yuri - Book'!$K:$K,$B8))</f>
        <v/>
      </c>
      <c r="L8" s="13">
        <f>IF($B8="","",ROUND(INDEX('Yuri - Book'!$Q:$Q,$B8),0))</f>
        <v/>
      </c>
      <c r="M8" s="11">
        <f>IF($B8="","",INDEX('Yuri - Book'!$P:$P,$B8))</f>
        <v/>
      </c>
    </row>
    <row r="9">
      <c r="A9" s="11" t="b">
        <v>0</v>
      </c>
      <c r="B9" s="11">
        <f>IFERROR(MATCH(5,'Yuri - Book'!$S$4:$S$203,0)+4-1,"")</f>
        <v/>
      </c>
      <c r="C9" s="11">
        <f>IF($B9="","",INDEX('Yuri - Book'!$A:$A,$B9))</f>
        <v/>
      </c>
      <c r="D9" s="11">
        <f>IF($B9="","",INDEX('Yuri - Book'!$B:$B,$B9))</f>
        <v/>
      </c>
      <c r="E9" s="12">
        <f>IF($B9="","",INDEX('Yuri - Book'!$J:$J,$B9))</f>
        <v/>
      </c>
      <c r="F9" s="11">
        <f>IF($B9="","","Yuri")</f>
        <v/>
      </c>
      <c r="G9" s="11">
        <f>IF($B9="","",INDEX('Yuri - Book'!$C:$C,$B9))</f>
        <v/>
      </c>
      <c r="H9" s="11">
        <f>IF($B9="","",INDEX('Yuri - Book'!$D:$D,$B9))</f>
        <v/>
      </c>
      <c r="I9" s="11">
        <f>IF($B9="","",INDEX('Yuri - Book'!$E:$E,$B9))</f>
        <v/>
      </c>
      <c r="J9" s="11">
        <f>IF($B9="","",INDEX('Yuri - Book'!$F:$F,$B9))</f>
        <v/>
      </c>
      <c r="K9" s="11">
        <f>IF($B9="","",INDEX('Yuri - Book'!$K:$K,$B9))</f>
        <v/>
      </c>
      <c r="L9" s="13">
        <f>IF($B9="","",ROUND(INDEX('Yuri - Book'!$Q:$Q,$B9),0))</f>
        <v/>
      </c>
      <c r="M9" s="11">
        <f>IF($B9="","",INDEX('Yuri - Book'!$P:$P,$B9))</f>
        <v/>
      </c>
    </row>
    <row r="10">
      <c r="A10" s="11" t="b">
        <v>0</v>
      </c>
      <c r="B10" s="11">
        <f>IFERROR(MATCH(6,'Yuri - Book'!$S$4:$S$203,0)+4-1,"")</f>
        <v/>
      </c>
      <c r="C10" s="11">
        <f>IF($B10="","",INDEX('Yuri - Book'!$A:$A,$B10))</f>
        <v/>
      </c>
      <c r="D10" s="11">
        <f>IF($B10="","",INDEX('Yuri - Book'!$B:$B,$B10))</f>
        <v/>
      </c>
      <c r="E10" s="12">
        <f>IF($B10="","",INDEX('Yuri - Book'!$J:$J,$B10))</f>
        <v/>
      </c>
      <c r="F10" s="11">
        <f>IF($B10="","","Yuri")</f>
        <v/>
      </c>
      <c r="G10" s="11">
        <f>IF($B10="","",INDEX('Yuri - Book'!$C:$C,$B10))</f>
        <v/>
      </c>
      <c r="H10" s="11">
        <f>IF($B10="","",INDEX('Yuri - Book'!$D:$D,$B10))</f>
        <v/>
      </c>
      <c r="I10" s="11">
        <f>IF($B10="","",INDEX('Yuri - Book'!$E:$E,$B10))</f>
        <v/>
      </c>
      <c r="J10" s="11">
        <f>IF($B10="","",INDEX('Yuri - Book'!$F:$F,$B10))</f>
        <v/>
      </c>
      <c r="K10" s="11">
        <f>IF($B10="","",INDEX('Yuri - Book'!$K:$K,$B10))</f>
        <v/>
      </c>
      <c r="L10" s="13">
        <f>IF($B10="","",ROUND(INDEX('Yuri - Book'!$Q:$Q,$B10),0))</f>
        <v/>
      </c>
      <c r="M10" s="11">
        <f>IF($B10="","",INDEX('Yuri - Book'!$P:$P,$B10))</f>
        <v/>
      </c>
    </row>
    <row r="11">
      <c r="A11" s="11" t="b">
        <v>0</v>
      </c>
      <c r="B11" s="11">
        <f>IFERROR(MATCH(7,'Yuri - Book'!$S$4:$S$203,0)+4-1,"")</f>
        <v/>
      </c>
      <c r="C11" s="11">
        <f>IF($B11="","",INDEX('Yuri - Book'!$A:$A,$B11))</f>
        <v/>
      </c>
      <c r="D11" s="11">
        <f>IF($B11="","",INDEX('Yuri - Book'!$B:$B,$B11))</f>
        <v/>
      </c>
      <c r="E11" s="12">
        <f>IF($B11="","",INDEX('Yuri - Book'!$J:$J,$B11))</f>
        <v/>
      </c>
      <c r="F11" s="11">
        <f>IF($B11="","","Yuri")</f>
        <v/>
      </c>
      <c r="G11" s="11">
        <f>IF($B11="","",INDEX('Yuri - Book'!$C:$C,$B11))</f>
        <v/>
      </c>
      <c r="H11" s="11">
        <f>IF($B11="","",INDEX('Yuri - Book'!$D:$D,$B11))</f>
        <v/>
      </c>
      <c r="I11" s="11">
        <f>IF($B11="","",INDEX('Yuri - Book'!$E:$E,$B11))</f>
        <v/>
      </c>
      <c r="J11" s="11">
        <f>IF($B11="","",INDEX('Yuri - Book'!$F:$F,$B11))</f>
        <v/>
      </c>
      <c r="K11" s="11">
        <f>IF($B11="","",INDEX('Yuri - Book'!$K:$K,$B11))</f>
        <v/>
      </c>
      <c r="L11" s="13">
        <f>IF($B11="","",ROUND(INDEX('Yuri - Book'!$Q:$Q,$B11),0))</f>
        <v/>
      </c>
      <c r="M11" s="11">
        <f>IF($B11="","",INDEX('Yuri - Book'!$P:$P,$B11))</f>
        <v/>
      </c>
    </row>
    <row r="12">
      <c r="A12" s="11" t="b">
        <v>0</v>
      </c>
      <c r="B12" s="11">
        <f>IFERROR(MATCH(8,'Yuri - Book'!$S$4:$S$203,0)+4-1,"")</f>
        <v/>
      </c>
      <c r="C12" s="11">
        <f>IF($B12="","",INDEX('Yuri - Book'!$A:$A,$B12))</f>
        <v/>
      </c>
      <c r="D12" s="11">
        <f>IF($B12="","",INDEX('Yuri - Book'!$B:$B,$B12))</f>
        <v/>
      </c>
      <c r="E12" s="12">
        <f>IF($B12="","",INDEX('Yuri - Book'!$J:$J,$B12))</f>
        <v/>
      </c>
      <c r="F12" s="11">
        <f>IF($B12="","","Yuri")</f>
        <v/>
      </c>
      <c r="G12" s="11">
        <f>IF($B12="","",INDEX('Yuri - Book'!$C:$C,$B12))</f>
        <v/>
      </c>
      <c r="H12" s="11">
        <f>IF($B12="","",INDEX('Yuri - Book'!$D:$D,$B12))</f>
        <v/>
      </c>
      <c r="I12" s="11">
        <f>IF($B12="","",INDEX('Yuri - Book'!$E:$E,$B12))</f>
        <v/>
      </c>
      <c r="J12" s="11">
        <f>IF($B12="","",INDEX('Yuri - Book'!$F:$F,$B12))</f>
        <v/>
      </c>
      <c r="K12" s="11">
        <f>IF($B12="","",INDEX('Yuri - Book'!$K:$K,$B12))</f>
        <v/>
      </c>
      <c r="L12" s="13">
        <f>IF($B12="","",ROUND(INDEX('Yuri - Book'!$Q:$Q,$B12),0))</f>
        <v/>
      </c>
      <c r="M12" s="11">
        <f>IF($B12="","",INDEX('Yuri - Book'!$P:$P,$B12))</f>
        <v/>
      </c>
    </row>
    <row r="13">
      <c r="A13" s="11" t="b">
        <v>0</v>
      </c>
      <c r="B13" s="11">
        <f>IFERROR(MATCH(9,'Yuri - Book'!$S$4:$S$203,0)+4-1,"")</f>
        <v/>
      </c>
      <c r="C13" s="11">
        <f>IF($B13="","",INDEX('Yuri - Book'!$A:$A,$B13))</f>
        <v/>
      </c>
      <c r="D13" s="11">
        <f>IF($B13="","",INDEX('Yuri - Book'!$B:$B,$B13))</f>
        <v/>
      </c>
      <c r="E13" s="12">
        <f>IF($B13="","",INDEX('Yuri - Book'!$J:$J,$B13))</f>
        <v/>
      </c>
      <c r="F13" s="11">
        <f>IF($B13="","","Yuri")</f>
        <v/>
      </c>
      <c r="G13" s="11">
        <f>IF($B13="","",INDEX('Yuri - Book'!$C:$C,$B13))</f>
        <v/>
      </c>
      <c r="H13" s="11">
        <f>IF($B13="","",INDEX('Yuri - Book'!$D:$D,$B13))</f>
        <v/>
      </c>
      <c r="I13" s="11">
        <f>IF($B13="","",INDEX('Yuri - Book'!$E:$E,$B13))</f>
        <v/>
      </c>
      <c r="J13" s="11">
        <f>IF($B13="","",INDEX('Yuri - Book'!$F:$F,$B13))</f>
        <v/>
      </c>
      <c r="K13" s="11">
        <f>IF($B13="","",INDEX('Yuri - Book'!$K:$K,$B13))</f>
        <v/>
      </c>
      <c r="L13" s="13">
        <f>IF($B13="","",ROUND(INDEX('Yuri - Book'!$Q:$Q,$B13),0))</f>
        <v/>
      </c>
      <c r="M13" s="11">
        <f>IF($B13="","",INDEX('Yuri - Book'!$P:$P,$B13))</f>
        <v/>
      </c>
    </row>
    <row r="14">
      <c r="A14" s="11" t="b">
        <v>0</v>
      </c>
      <c r="B14" s="11">
        <f>IFERROR(MATCH(10,'Yuri - Book'!$S$4:$S$203,0)+4-1,"")</f>
        <v/>
      </c>
      <c r="C14" s="11">
        <f>IF($B14="","",INDEX('Yuri - Book'!$A:$A,$B14))</f>
        <v/>
      </c>
      <c r="D14" s="11">
        <f>IF($B14="","",INDEX('Yuri - Book'!$B:$B,$B14))</f>
        <v/>
      </c>
      <c r="E14" s="12">
        <f>IF($B14="","",INDEX('Yuri - Book'!$J:$J,$B14))</f>
        <v/>
      </c>
      <c r="F14" s="11">
        <f>IF($B14="","","Yuri")</f>
        <v/>
      </c>
      <c r="G14" s="11">
        <f>IF($B14="","",INDEX('Yuri - Book'!$C:$C,$B14))</f>
        <v/>
      </c>
      <c r="H14" s="11">
        <f>IF($B14="","",INDEX('Yuri - Book'!$D:$D,$B14))</f>
        <v/>
      </c>
      <c r="I14" s="11">
        <f>IF($B14="","",INDEX('Yuri - Book'!$E:$E,$B14))</f>
        <v/>
      </c>
      <c r="J14" s="11">
        <f>IF($B14="","",INDEX('Yuri - Book'!$F:$F,$B14))</f>
        <v/>
      </c>
      <c r="K14" s="11">
        <f>IF($B14="","",INDEX('Yuri - Book'!$K:$K,$B14))</f>
        <v/>
      </c>
      <c r="L14" s="13">
        <f>IF($B14="","",ROUND(INDEX('Yuri - Book'!$Q:$Q,$B14),0))</f>
        <v/>
      </c>
      <c r="M14" s="11">
        <f>IF($B14="","",INDEX('Yuri - Book'!$P:$P,$B14))</f>
        <v/>
      </c>
    </row>
    <row r="15">
      <c r="A15" s="11" t="b">
        <v>0</v>
      </c>
      <c r="B15" s="11">
        <f>IFERROR(MATCH(11,'Yuri - Book'!$S$4:$S$203,0)+4-1,"")</f>
        <v/>
      </c>
      <c r="C15" s="11">
        <f>IF($B15="","",INDEX('Yuri - Book'!$A:$A,$B15))</f>
        <v/>
      </c>
      <c r="D15" s="11">
        <f>IF($B15="","",INDEX('Yuri - Book'!$B:$B,$B15))</f>
        <v/>
      </c>
      <c r="E15" s="12">
        <f>IF($B15="","",INDEX('Yuri - Book'!$J:$J,$B15))</f>
        <v/>
      </c>
      <c r="F15" s="11">
        <f>IF($B15="","","Yuri")</f>
        <v/>
      </c>
      <c r="G15" s="11">
        <f>IF($B15="","",INDEX('Yuri - Book'!$C:$C,$B15))</f>
        <v/>
      </c>
      <c r="H15" s="11">
        <f>IF($B15="","",INDEX('Yuri - Book'!$D:$D,$B15))</f>
        <v/>
      </c>
      <c r="I15" s="11">
        <f>IF($B15="","",INDEX('Yuri - Book'!$E:$E,$B15))</f>
        <v/>
      </c>
      <c r="J15" s="11">
        <f>IF($B15="","",INDEX('Yuri - Book'!$F:$F,$B15))</f>
        <v/>
      </c>
      <c r="K15" s="11">
        <f>IF($B15="","",INDEX('Yuri - Book'!$K:$K,$B15))</f>
        <v/>
      </c>
      <c r="L15" s="13">
        <f>IF($B15="","",ROUND(INDEX('Yuri - Book'!$Q:$Q,$B15),0))</f>
        <v/>
      </c>
      <c r="M15" s="11">
        <f>IF($B15="","",INDEX('Yuri - Book'!$P:$P,$B15))</f>
        <v/>
      </c>
    </row>
    <row r="16">
      <c r="A16" s="11" t="b">
        <v>0</v>
      </c>
      <c r="B16" s="11">
        <f>IFERROR(MATCH(12,'Yuri - Book'!$S$4:$S$203,0)+4-1,"")</f>
        <v/>
      </c>
      <c r="C16" s="11">
        <f>IF($B16="","",INDEX('Yuri - Book'!$A:$A,$B16))</f>
        <v/>
      </c>
      <c r="D16" s="11">
        <f>IF($B16="","",INDEX('Yuri - Book'!$B:$B,$B16))</f>
        <v/>
      </c>
      <c r="E16" s="12">
        <f>IF($B16="","",INDEX('Yuri - Book'!$J:$J,$B16))</f>
        <v/>
      </c>
      <c r="F16" s="11">
        <f>IF($B16="","","Yuri")</f>
        <v/>
      </c>
      <c r="G16" s="11">
        <f>IF($B16="","",INDEX('Yuri - Book'!$C:$C,$B16))</f>
        <v/>
      </c>
      <c r="H16" s="11">
        <f>IF($B16="","",INDEX('Yuri - Book'!$D:$D,$B16))</f>
        <v/>
      </c>
      <c r="I16" s="11">
        <f>IF($B16="","",INDEX('Yuri - Book'!$E:$E,$B16))</f>
        <v/>
      </c>
      <c r="J16" s="11">
        <f>IF($B16="","",INDEX('Yuri - Book'!$F:$F,$B16))</f>
        <v/>
      </c>
      <c r="K16" s="11">
        <f>IF($B16="","",INDEX('Yuri - Book'!$K:$K,$B16))</f>
        <v/>
      </c>
      <c r="L16" s="13">
        <f>IF($B16="","",ROUND(INDEX('Yuri - Book'!$Q:$Q,$B16),0))</f>
        <v/>
      </c>
      <c r="M16" s="11">
        <f>IF($B16="","",INDEX('Yuri - Book'!$P:$P,$B16))</f>
        <v/>
      </c>
    </row>
    <row r="17">
      <c r="A17" s="11" t="b">
        <v>0</v>
      </c>
      <c r="B17" s="11">
        <f>IFERROR(MATCH(13,'Yuri - Book'!$S$4:$S$203,0)+4-1,"")</f>
        <v/>
      </c>
      <c r="C17" s="11">
        <f>IF($B17="","",INDEX('Yuri - Book'!$A:$A,$B17))</f>
        <v/>
      </c>
      <c r="D17" s="11">
        <f>IF($B17="","",INDEX('Yuri - Book'!$B:$B,$B17))</f>
        <v/>
      </c>
      <c r="E17" s="12">
        <f>IF($B17="","",INDEX('Yuri - Book'!$J:$J,$B17))</f>
        <v/>
      </c>
      <c r="F17" s="11">
        <f>IF($B17="","","Yuri")</f>
        <v/>
      </c>
      <c r="G17" s="11">
        <f>IF($B17="","",INDEX('Yuri - Book'!$C:$C,$B17))</f>
        <v/>
      </c>
      <c r="H17" s="11">
        <f>IF($B17="","",INDEX('Yuri - Book'!$D:$D,$B17))</f>
        <v/>
      </c>
      <c r="I17" s="11">
        <f>IF($B17="","",INDEX('Yuri - Book'!$E:$E,$B17))</f>
        <v/>
      </c>
      <c r="J17" s="11">
        <f>IF($B17="","",INDEX('Yuri - Book'!$F:$F,$B17))</f>
        <v/>
      </c>
      <c r="K17" s="11">
        <f>IF($B17="","",INDEX('Yuri - Book'!$K:$K,$B17))</f>
        <v/>
      </c>
      <c r="L17" s="13">
        <f>IF($B17="","",ROUND(INDEX('Yuri - Book'!$Q:$Q,$B17),0))</f>
        <v/>
      </c>
      <c r="M17" s="11">
        <f>IF($B17="","",INDEX('Yuri - Book'!$P:$P,$B17))</f>
        <v/>
      </c>
    </row>
    <row r="18">
      <c r="A18" s="11" t="b">
        <v>0</v>
      </c>
      <c r="B18" s="11">
        <f>IFERROR(MATCH(14,'Yuri - Book'!$S$4:$S$203,0)+4-1,"")</f>
        <v/>
      </c>
      <c r="C18" s="11">
        <f>IF($B18="","",INDEX('Yuri - Book'!$A:$A,$B18))</f>
        <v/>
      </c>
      <c r="D18" s="11">
        <f>IF($B18="","",INDEX('Yuri - Book'!$B:$B,$B18))</f>
        <v/>
      </c>
      <c r="E18" s="12">
        <f>IF($B18="","",INDEX('Yuri - Book'!$J:$J,$B18))</f>
        <v/>
      </c>
      <c r="F18" s="11">
        <f>IF($B18="","","Yuri")</f>
        <v/>
      </c>
      <c r="G18" s="11">
        <f>IF($B18="","",INDEX('Yuri - Book'!$C:$C,$B18))</f>
        <v/>
      </c>
      <c r="H18" s="11">
        <f>IF($B18="","",INDEX('Yuri - Book'!$D:$D,$B18))</f>
        <v/>
      </c>
      <c r="I18" s="11">
        <f>IF($B18="","",INDEX('Yuri - Book'!$E:$E,$B18))</f>
        <v/>
      </c>
      <c r="J18" s="11">
        <f>IF($B18="","",INDEX('Yuri - Book'!$F:$F,$B18))</f>
        <v/>
      </c>
      <c r="K18" s="11">
        <f>IF($B18="","",INDEX('Yuri - Book'!$K:$K,$B18))</f>
        <v/>
      </c>
      <c r="L18" s="13">
        <f>IF($B18="","",ROUND(INDEX('Yuri - Book'!$Q:$Q,$B18),0))</f>
        <v/>
      </c>
      <c r="M18" s="11">
        <f>IF($B18="","",INDEX('Yuri - Book'!$P:$P,$B18))</f>
        <v/>
      </c>
    </row>
    <row r="19">
      <c r="A19" s="11" t="b">
        <v>0</v>
      </c>
      <c r="B19" s="11">
        <f>IFERROR(MATCH(15,'Yuri - Book'!$S$4:$S$203,0)+4-1,"")</f>
        <v/>
      </c>
      <c r="C19" s="11">
        <f>IF($B19="","",INDEX('Yuri - Book'!$A:$A,$B19))</f>
        <v/>
      </c>
      <c r="D19" s="11">
        <f>IF($B19="","",INDEX('Yuri - Book'!$B:$B,$B19))</f>
        <v/>
      </c>
      <c r="E19" s="12">
        <f>IF($B19="","",INDEX('Yuri - Book'!$J:$J,$B19))</f>
        <v/>
      </c>
      <c r="F19" s="11">
        <f>IF($B19="","","Yuri")</f>
        <v/>
      </c>
      <c r="G19" s="11">
        <f>IF($B19="","",INDEX('Yuri - Book'!$C:$C,$B19))</f>
        <v/>
      </c>
      <c r="H19" s="11">
        <f>IF($B19="","",INDEX('Yuri - Book'!$D:$D,$B19))</f>
        <v/>
      </c>
      <c r="I19" s="11">
        <f>IF($B19="","",INDEX('Yuri - Book'!$E:$E,$B19))</f>
        <v/>
      </c>
      <c r="J19" s="11">
        <f>IF($B19="","",INDEX('Yuri - Book'!$F:$F,$B19))</f>
        <v/>
      </c>
      <c r="K19" s="11">
        <f>IF($B19="","",INDEX('Yuri - Book'!$K:$K,$B19))</f>
        <v/>
      </c>
      <c r="L19" s="13">
        <f>IF($B19="","",ROUND(INDEX('Yuri - Book'!$Q:$Q,$B19),0))</f>
        <v/>
      </c>
      <c r="M19" s="11">
        <f>IF($B19="","",INDEX('Yuri - Book'!$P:$P,$B19))</f>
        <v/>
      </c>
    </row>
    <row r="20">
      <c r="A20" s="11" t="b">
        <v>0</v>
      </c>
      <c r="B20" s="11">
        <f>IFERROR(MATCH(16,'Yuri - Book'!$S$4:$S$203,0)+4-1,"")</f>
        <v/>
      </c>
      <c r="C20" s="11">
        <f>IF($B20="","",INDEX('Yuri - Book'!$A:$A,$B20))</f>
        <v/>
      </c>
      <c r="D20" s="11">
        <f>IF($B20="","",INDEX('Yuri - Book'!$B:$B,$B20))</f>
        <v/>
      </c>
      <c r="E20" s="12">
        <f>IF($B20="","",INDEX('Yuri - Book'!$J:$J,$B20))</f>
        <v/>
      </c>
      <c r="F20" s="11">
        <f>IF($B20="","","Yuri")</f>
        <v/>
      </c>
      <c r="G20" s="11">
        <f>IF($B20="","",INDEX('Yuri - Book'!$C:$C,$B20))</f>
        <v/>
      </c>
      <c r="H20" s="11">
        <f>IF($B20="","",INDEX('Yuri - Book'!$D:$D,$B20))</f>
        <v/>
      </c>
      <c r="I20" s="11">
        <f>IF($B20="","",INDEX('Yuri - Book'!$E:$E,$B20))</f>
        <v/>
      </c>
      <c r="J20" s="11">
        <f>IF($B20="","",INDEX('Yuri - Book'!$F:$F,$B20))</f>
        <v/>
      </c>
      <c r="K20" s="11">
        <f>IF($B20="","",INDEX('Yuri - Book'!$K:$K,$B20))</f>
        <v/>
      </c>
      <c r="L20" s="13">
        <f>IF($B20="","",ROUND(INDEX('Yuri - Book'!$Q:$Q,$B20),0))</f>
        <v/>
      </c>
      <c r="M20" s="11">
        <f>IF($B20="","",INDEX('Yuri - Book'!$P:$P,$B20))</f>
        <v/>
      </c>
    </row>
    <row r="21">
      <c r="A21" s="11" t="b">
        <v>0</v>
      </c>
      <c r="B21" s="11">
        <f>IFERROR(MATCH(17,'Yuri - Book'!$S$4:$S$203,0)+4-1,"")</f>
        <v/>
      </c>
      <c r="C21" s="11">
        <f>IF($B21="","",INDEX('Yuri - Book'!$A:$A,$B21))</f>
        <v/>
      </c>
      <c r="D21" s="11">
        <f>IF($B21="","",INDEX('Yuri - Book'!$B:$B,$B21))</f>
        <v/>
      </c>
      <c r="E21" s="12">
        <f>IF($B21="","",INDEX('Yuri - Book'!$J:$J,$B21))</f>
        <v/>
      </c>
      <c r="F21" s="11">
        <f>IF($B21="","","Yuri")</f>
        <v/>
      </c>
      <c r="G21" s="11">
        <f>IF($B21="","",INDEX('Yuri - Book'!$C:$C,$B21))</f>
        <v/>
      </c>
      <c r="H21" s="11">
        <f>IF($B21="","",INDEX('Yuri - Book'!$D:$D,$B21))</f>
        <v/>
      </c>
      <c r="I21" s="11">
        <f>IF($B21="","",INDEX('Yuri - Book'!$E:$E,$B21))</f>
        <v/>
      </c>
      <c r="J21" s="11">
        <f>IF($B21="","",INDEX('Yuri - Book'!$F:$F,$B21))</f>
        <v/>
      </c>
      <c r="K21" s="11">
        <f>IF($B21="","",INDEX('Yuri - Book'!$K:$K,$B21))</f>
        <v/>
      </c>
      <c r="L21" s="13">
        <f>IF($B21="","",ROUND(INDEX('Yuri - Book'!$Q:$Q,$B21),0))</f>
        <v/>
      </c>
      <c r="M21" s="11">
        <f>IF($B21="","",INDEX('Yuri - Book'!$P:$P,$B21))</f>
        <v/>
      </c>
    </row>
    <row r="22">
      <c r="A22" s="11" t="b">
        <v>0</v>
      </c>
      <c r="B22" s="11">
        <f>IFERROR(MATCH(18,'Yuri - Book'!$S$4:$S$203,0)+4-1,"")</f>
        <v/>
      </c>
      <c r="C22" s="11">
        <f>IF($B22="","",INDEX('Yuri - Book'!$A:$A,$B22))</f>
        <v/>
      </c>
      <c r="D22" s="11">
        <f>IF($B22="","",INDEX('Yuri - Book'!$B:$B,$B22))</f>
        <v/>
      </c>
      <c r="E22" s="12">
        <f>IF($B22="","",INDEX('Yuri - Book'!$J:$J,$B22))</f>
        <v/>
      </c>
      <c r="F22" s="11">
        <f>IF($B22="","","Yuri")</f>
        <v/>
      </c>
      <c r="G22" s="11">
        <f>IF($B22="","",INDEX('Yuri - Book'!$C:$C,$B22))</f>
        <v/>
      </c>
      <c r="H22" s="11">
        <f>IF($B22="","",INDEX('Yuri - Book'!$D:$D,$B22))</f>
        <v/>
      </c>
      <c r="I22" s="11">
        <f>IF($B22="","",INDEX('Yuri - Book'!$E:$E,$B22))</f>
        <v/>
      </c>
      <c r="J22" s="11">
        <f>IF($B22="","",INDEX('Yuri - Book'!$F:$F,$B22))</f>
        <v/>
      </c>
      <c r="K22" s="11">
        <f>IF($B22="","",INDEX('Yuri - Book'!$K:$K,$B22))</f>
        <v/>
      </c>
      <c r="L22" s="13">
        <f>IF($B22="","",ROUND(INDEX('Yuri - Book'!$Q:$Q,$B22),0))</f>
        <v/>
      </c>
      <c r="M22" s="11">
        <f>IF($B22="","",INDEX('Yuri - Book'!$P:$P,$B22))</f>
        <v/>
      </c>
    </row>
    <row r="23">
      <c r="A23" s="11" t="b">
        <v>0</v>
      </c>
      <c r="B23" s="11">
        <f>IFERROR(MATCH(19,'Yuri - Book'!$S$4:$S$203,0)+4-1,"")</f>
        <v/>
      </c>
      <c r="C23" s="11">
        <f>IF($B23="","",INDEX('Yuri - Book'!$A:$A,$B23))</f>
        <v/>
      </c>
      <c r="D23" s="11">
        <f>IF($B23="","",INDEX('Yuri - Book'!$B:$B,$B23))</f>
        <v/>
      </c>
      <c r="E23" s="12">
        <f>IF($B23="","",INDEX('Yuri - Book'!$J:$J,$B23))</f>
        <v/>
      </c>
      <c r="F23" s="11">
        <f>IF($B23="","","Yuri")</f>
        <v/>
      </c>
      <c r="G23" s="11">
        <f>IF($B23="","",INDEX('Yuri - Book'!$C:$C,$B23))</f>
        <v/>
      </c>
      <c r="H23" s="11">
        <f>IF($B23="","",INDEX('Yuri - Book'!$D:$D,$B23))</f>
        <v/>
      </c>
      <c r="I23" s="11">
        <f>IF($B23="","",INDEX('Yuri - Book'!$E:$E,$B23))</f>
        <v/>
      </c>
      <c r="J23" s="11">
        <f>IF($B23="","",INDEX('Yuri - Book'!$F:$F,$B23))</f>
        <v/>
      </c>
      <c r="K23" s="11">
        <f>IF($B23="","",INDEX('Yuri - Book'!$K:$K,$B23))</f>
        <v/>
      </c>
      <c r="L23" s="13">
        <f>IF($B23="","",ROUND(INDEX('Yuri - Book'!$Q:$Q,$B23),0))</f>
        <v/>
      </c>
      <c r="M23" s="11">
        <f>IF($B23="","",INDEX('Yuri - Book'!$P:$P,$B23))</f>
        <v/>
      </c>
    </row>
    <row r="24">
      <c r="A24" s="11" t="b">
        <v>0</v>
      </c>
      <c r="B24" s="11">
        <f>IFERROR(MATCH(20,'Yuri - Book'!$S$4:$S$203,0)+4-1,"")</f>
        <v/>
      </c>
      <c r="C24" s="11">
        <f>IF($B24="","",INDEX('Yuri - Book'!$A:$A,$B24))</f>
        <v/>
      </c>
      <c r="D24" s="11">
        <f>IF($B24="","",INDEX('Yuri - Book'!$B:$B,$B24))</f>
        <v/>
      </c>
      <c r="E24" s="12">
        <f>IF($B24="","",INDEX('Yuri - Book'!$J:$J,$B24))</f>
        <v/>
      </c>
      <c r="F24" s="11">
        <f>IF($B24="","","Yuri")</f>
        <v/>
      </c>
      <c r="G24" s="11">
        <f>IF($B24="","",INDEX('Yuri - Book'!$C:$C,$B24))</f>
        <v/>
      </c>
      <c r="H24" s="11">
        <f>IF($B24="","",INDEX('Yuri - Book'!$D:$D,$B24))</f>
        <v/>
      </c>
      <c r="I24" s="11">
        <f>IF($B24="","",INDEX('Yuri - Book'!$E:$E,$B24))</f>
        <v/>
      </c>
      <c r="J24" s="11">
        <f>IF($B24="","",INDEX('Yuri - Book'!$F:$F,$B24))</f>
        <v/>
      </c>
      <c r="K24" s="11">
        <f>IF($B24="","",INDEX('Yuri - Book'!$K:$K,$B24))</f>
        <v/>
      </c>
      <c r="L24" s="13">
        <f>IF($B24="","",ROUND(INDEX('Yuri - Book'!$Q:$Q,$B24),0))</f>
        <v/>
      </c>
      <c r="M24" s="11">
        <f>IF($B24="","",INDEX('Yuri - Book'!$P:$P,$B24))</f>
        <v/>
      </c>
    </row>
    <row r="25">
      <c r="A25" s="11" t="b">
        <v>0</v>
      </c>
      <c r="B25" s="11">
        <f>IFERROR(MATCH(21,'Yuri - Book'!$S$4:$S$203,0)+4-1,"")</f>
        <v/>
      </c>
      <c r="C25" s="11">
        <f>IF($B25="","",INDEX('Yuri - Book'!$A:$A,$B25))</f>
        <v/>
      </c>
      <c r="D25" s="11">
        <f>IF($B25="","",INDEX('Yuri - Book'!$B:$B,$B25))</f>
        <v/>
      </c>
      <c r="E25" s="12">
        <f>IF($B25="","",INDEX('Yuri - Book'!$J:$J,$B25))</f>
        <v/>
      </c>
      <c r="F25" s="11">
        <f>IF($B25="","","Yuri")</f>
        <v/>
      </c>
      <c r="G25" s="11">
        <f>IF($B25="","",INDEX('Yuri - Book'!$C:$C,$B25))</f>
        <v/>
      </c>
      <c r="H25" s="11">
        <f>IF($B25="","",INDEX('Yuri - Book'!$D:$D,$B25))</f>
        <v/>
      </c>
      <c r="I25" s="11">
        <f>IF($B25="","",INDEX('Yuri - Book'!$E:$E,$B25))</f>
        <v/>
      </c>
      <c r="J25" s="11">
        <f>IF($B25="","",INDEX('Yuri - Book'!$F:$F,$B25))</f>
        <v/>
      </c>
      <c r="K25" s="11">
        <f>IF($B25="","",INDEX('Yuri - Book'!$K:$K,$B25))</f>
        <v/>
      </c>
      <c r="L25" s="13">
        <f>IF($B25="","",ROUND(INDEX('Yuri - Book'!$Q:$Q,$B25),0))</f>
        <v/>
      </c>
      <c r="M25" s="11">
        <f>IF($B25="","",INDEX('Yuri - Book'!$P:$P,$B25))</f>
        <v/>
      </c>
    </row>
    <row r="26">
      <c r="A26" s="11" t="b">
        <v>0</v>
      </c>
      <c r="B26" s="11">
        <f>IFERROR(MATCH(22,'Yuri - Book'!$S$4:$S$203,0)+4-1,"")</f>
        <v/>
      </c>
      <c r="C26" s="11">
        <f>IF($B26="","",INDEX('Yuri - Book'!$A:$A,$B26))</f>
        <v/>
      </c>
      <c r="D26" s="11">
        <f>IF($B26="","",INDEX('Yuri - Book'!$B:$B,$B26))</f>
        <v/>
      </c>
      <c r="E26" s="12">
        <f>IF($B26="","",INDEX('Yuri - Book'!$J:$J,$B26))</f>
        <v/>
      </c>
      <c r="F26" s="11">
        <f>IF($B26="","","Yuri")</f>
        <v/>
      </c>
      <c r="G26" s="11">
        <f>IF($B26="","",INDEX('Yuri - Book'!$C:$C,$B26))</f>
        <v/>
      </c>
      <c r="H26" s="11">
        <f>IF($B26="","",INDEX('Yuri - Book'!$D:$D,$B26))</f>
        <v/>
      </c>
      <c r="I26" s="11">
        <f>IF($B26="","",INDEX('Yuri - Book'!$E:$E,$B26))</f>
        <v/>
      </c>
      <c r="J26" s="11">
        <f>IF($B26="","",INDEX('Yuri - Book'!$F:$F,$B26))</f>
        <v/>
      </c>
      <c r="K26" s="11">
        <f>IF($B26="","",INDEX('Yuri - Book'!$K:$K,$B26))</f>
        <v/>
      </c>
      <c r="L26" s="13">
        <f>IF($B26="","",ROUND(INDEX('Yuri - Book'!$Q:$Q,$B26),0))</f>
        <v/>
      </c>
      <c r="M26" s="11">
        <f>IF($B26="","",INDEX('Yuri - Book'!$P:$P,$B26))</f>
        <v/>
      </c>
    </row>
    <row r="27">
      <c r="A27" s="11" t="b">
        <v>0</v>
      </c>
      <c r="B27" s="11">
        <f>IFERROR(MATCH(23,'Yuri - Book'!$S$4:$S$203,0)+4-1,"")</f>
        <v/>
      </c>
      <c r="C27" s="11">
        <f>IF($B27="","",INDEX('Yuri - Book'!$A:$A,$B27))</f>
        <v/>
      </c>
      <c r="D27" s="11">
        <f>IF($B27="","",INDEX('Yuri - Book'!$B:$B,$B27))</f>
        <v/>
      </c>
      <c r="E27" s="12">
        <f>IF($B27="","",INDEX('Yuri - Book'!$J:$J,$B27))</f>
        <v/>
      </c>
      <c r="F27" s="11">
        <f>IF($B27="","","Yuri")</f>
        <v/>
      </c>
      <c r="G27" s="11">
        <f>IF($B27="","",INDEX('Yuri - Book'!$C:$C,$B27))</f>
        <v/>
      </c>
      <c r="H27" s="11">
        <f>IF($B27="","",INDEX('Yuri - Book'!$D:$D,$B27))</f>
        <v/>
      </c>
      <c r="I27" s="11">
        <f>IF($B27="","",INDEX('Yuri - Book'!$E:$E,$B27))</f>
        <v/>
      </c>
      <c r="J27" s="11">
        <f>IF($B27="","",INDEX('Yuri - Book'!$F:$F,$B27))</f>
        <v/>
      </c>
      <c r="K27" s="11">
        <f>IF($B27="","",INDEX('Yuri - Book'!$K:$K,$B27))</f>
        <v/>
      </c>
      <c r="L27" s="13">
        <f>IF($B27="","",ROUND(INDEX('Yuri - Book'!$Q:$Q,$B27),0))</f>
        <v/>
      </c>
      <c r="M27" s="11">
        <f>IF($B27="","",INDEX('Yuri - Book'!$P:$P,$B27))</f>
        <v/>
      </c>
    </row>
    <row r="28">
      <c r="A28" s="11" t="b">
        <v>0</v>
      </c>
      <c r="B28" s="11">
        <f>IFERROR(MATCH(24,'Yuri - Book'!$S$4:$S$203,0)+4-1,"")</f>
        <v/>
      </c>
      <c r="C28" s="11">
        <f>IF($B28="","",INDEX('Yuri - Book'!$A:$A,$B28))</f>
        <v/>
      </c>
      <c r="D28" s="11">
        <f>IF($B28="","",INDEX('Yuri - Book'!$B:$B,$B28))</f>
        <v/>
      </c>
      <c r="E28" s="12">
        <f>IF($B28="","",INDEX('Yuri - Book'!$J:$J,$B28))</f>
        <v/>
      </c>
      <c r="F28" s="11">
        <f>IF($B28="","","Yuri")</f>
        <v/>
      </c>
      <c r="G28" s="11">
        <f>IF($B28="","",INDEX('Yuri - Book'!$C:$C,$B28))</f>
        <v/>
      </c>
      <c r="H28" s="11">
        <f>IF($B28="","",INDEX('Yuri - Book'!$D:$D,$B28))</f>
        <v/>
      </c>
      <c r="I28" s="11">
        <f>IF($B28="","",INDEX('Yuri - Book'!$E:$E,$B28))</f>
        <v/>
      </c>
      <c r="J28" s="11">
        <f>IF($B28="","",INDEX('Yuri - Book'!$F:$F,$B28))</f>
        <v/>
      </c>
      <c r="K28" s="11">
        <f>IF($B28="","",INDEX('Yuri - Book'!$K:$K,$B28))</f>
        <v/>
      </c>
      <c r="L28" s="13">
        <f>IF($B28="","",ROUND(INDEX('Yuri - Book'!$Q:$Q,$B28),0))</f>
        <v/>
      </c>
      <c r="M28" s="11">
        <f>IF($B28="","",INDEX('Yuri - Book'!$P:$P,$B28))</f>
        <v/>
      </c>
    </row>
    <row r="29">
      <c r="A29" s="11" t="b">
        <v>0</v>
      </c>
      <c r="B29" s="11">
        <f>IFERROR(MATCH(25,'Yuri - Book'!$S$4:$S$203,0)+4-1,"")</f>
        <v/>
      </c>
      <c r="C29" s="11">
        <f>IF($B29="","",INDEX('Yuri - Book'!$A:$A,$B29))</f>
        <v/>
      </c>
      <c r="D29" s="11">
        <f>IF($B29="","",INDEX('Yuri - Book'!$B:$B,$B29))</f>
        <v/>
      </c>
      <c r="E29" s="12">
        <f>IF($B29="","",INDEX('Yuri - Book'!$J:$J,$B29))</f>
        <v/>
      </c>
      <c r="F29" s="11">
        <f>IF($B29="","","Yuri")</f>
        <v/>
      </c>
      <c r="G29" s="11">
        <f>IF($B29="","",INDEX('Yuri - Book'!$C:$C,$B29))</f>
        <v/>
      </c>
      <c r="H29" s="11">
        <f>IF($B29="","",INDEX('Yuri - Book'!$D:$D,$B29))</f>
        <v/>
      </c>
      <c r="I29" s="11">
        <f>IF($B29="","",INDEX('Yuri - Book'!$E:$E,$B29))</f>
        <v/>
      </c>
      <c r="J29" s="11">
        <f>IF($B29="","",INDEX('Yuri - Book'!$F:$F,$B29))</f>
        <v/>
      </c>
      <c r="K29" s="11">
        <f>IF($B29="","",INDEX('Yuri - Book'!$K:$K,$B29))</f>
        <v/>
      </c>
      <c r="L29" s="13">
        <f>IF($B29="","",ROUND(INDEX('Yuri - Book'!$Q:$Q,$B29),0))</f>
        <v/>
      </c>
      <c r="M29" s="11">
        <f>IF($B29="","",INDEX('Yuri - Book'!$P:$P,$B29))</f>
        <v/>
      </c>
    </row>
    <row r="30">
      <c r="A30" s="11" t="b">
        <v>0</v>
      </c>
      <c r="B30" s="11">
        <f>IFERROR(MATCH(26,'Yuri - Book'!$S$4:$S$203,0)+4-1,"")</f>
        <v/>
      </c>
      <c r="C30" s="11">
        <f>IF($B30="","",INDEX('Yuri - Book'!$A:$A,$B30))</f>
        <v/>
      </c>
      <c r="D30" s="11">
        <f>IF($B30="","",INDEX('Yuri - Book'!$B:$B,$B30))</f>
        <v/>
      </c>
      <c r="E30" s="12">
        <f>IF($B30="","",INDEX('Yuri - Book'!$J:$J,$B30))</f>
        <v/>
      </c>
      <c r="F30" s="11">
        <f>IF($B30="","","Yuri")</f>
        <v/>
      </c>
      <c r="G30" s="11">
        <f>IF($B30="","",INDEX('Yuri - Book'!$C:$C,$B30))</f>
        <v/>
      </c>
      <c r="H30" s="11">
        <f>IF($B30="","",INDEX('Yuri - Book'!$D:$D,$B30))</f>
        <v/>
      </c>
      <c r="I30" s="11">
        <f>IF($B30="","",INDEX('Yuri - Book'!$E:$E,$B30))</f>
        <v/>
      </c>
      <c r="J30" s="11">
        <f>IF($B30="","",INDEX('Yuri - Book'!$F:$F,$B30))</f>
        <v/>
      </c>
      <c r="K30" s="11">
        <f>IF($B30="","",INDEX('Yuri - Book'!$K:$K,$B30))</f>
        <v/>
      </c>
      <c r="L30" s="13">
        <f>IF($B30="","",ROUND(INDEX('Yuri - Book'!$Q:$Q,$B30),0))</f>
        <v/>
      </c>
      <c r="M30" s="11">
        <f>IF($B30="","",INDEX('Yuri - Book'!$P:$P,$B30))</f>
        <v/>
      </c>
    </row>
    <row r="31">
      <c r="A31" s="11" t="b">
        <v>0</v>
      </c>
      <c r="B31" s="11">
        <f>IFERROR(MATCH(27,'Yuri - Book'!$S$4:$S$203,0)+4-1,"")</f>
        <v/>
      </c>
      <c r="C31" s="11">
        <f>IF($B31="","",INDEX('Yuri - Book'!$A:$A,$B31))</f>
        <v/>
      </c>
      <c r="D31" s="11">
        <f>IF($B31="","",INDEX('Yuri - Book'!$B:$B,$B31))</f>
        <v/>
      </c>
      <c r="E31" s="12">
        <f>IF($B31="","",INDEX('Yuri - Book'!$J:$J,$B31))</f>
        <v/>
      </c>
      <c r="F31" s="11">
        <f>IF($B31="","","Yuri")</f>
        <v/>
      </c>
      <c r="G31" s="11">
        <f>IF($B31="","",INDEX('Yuri - Book'!$C:$C,$B31))</f>
        <v/>
      </c>
      <c r="H31" s="11">
        <f>IF($B31="","",INDEX('Yuri - Book'!$D:$D,$B31))</f>
        <v/>
      </c>
      <c r="I31" s="11">
        <f>IF($B31="","",INDEX('Yuri - Book'!$E:$E,$B31))</f>
        <v/>
      </c>
      <c r="J31" s="11">
        <f>IF($B31="","",INDEX('Yuri - Book'!$F:$F,$B31))</f>
        <v/>
      </c>
      <c r="K31" s="11">
        <f>IF($B31="","",INDEX('Yuri - Book'!$K:$K,$B31))</f>
        <v/>
      </c>
      <c r="L31" s="13">
        <f>IF($B31="","",ROUND(INDEX('Yuri - Book'!$Q:$Q,$B31),0))</f>
        <v/>
      </c>
      <c r="M31" s="11">
        <f>IF($B31="","",INDEX('Yuri - Book'!$P:$P,$B31))</f>
        <v/>
      </c>
    </row>
    <row r="32">
      <c r="A32" s="11" t="b">
        <v>0</v>
      </c>
      <c r="B32" s="11">
        <f>IFERROR(MATCH(28,'Yuri - Book'!$S$4:$S$203,0)+4-1,"")</f>
        <v/>
      </c>
      <c r="C32" s="11">
        <f>IF($B32="","",INDEX('Yuri - Book'!$A:$A,$B32))</f>
        <v/>
      </c>
      <c r="D32" s="11">
        <f>IF($B32="","",INDEX('Yuri - Book'!$B:$B,$B32))</f>
        <v/>
      </c>
      <c r="E32" s="12">
        <f>IF($B32="","",INDEX('Yuri - Book'!$J:$J,$B32))</f>
        <v/>
      </c>
      <c r="F32" s="11">
        <f>IF($B32="","","Yuri")</f>
        <v/>
      </c>
      <c r="G32" s="11">
        <f>IF($B32="","",INDEX('Yuri - Book'!$C:$C,$B32))</f>
        <v/>
      </c>
      <c r="H32" s="11">
        <f>IF($B32="","",INDEX('Yuri - Book'!$D:$D,$B32))</f>
        <v/>
      </c>
      <c r="I32" s="11">
        <f>IF($B32="","",INDEX('Yuri - Book'!$E:$E,$B32))</f>
        <v/>
      </c>
      <c r="J32" s="11">
        <f>IF($B32="","",INDEX('Yuri - Book'!$F:$F,$B32))</f>
        <v/>
      </c>
      <c r="K32" s="11">
        <f>IF($B32="","",INDEX('Yuri - Book'!$K:$K,$B32))</f>
        <v/>
      </c>
      <c r="L32" s="13">
        <f>IF($B32="","",ROUND(INDEX('Yuri - Book'!$Q:$Q,$B32),0))</f>
        <v/>
      </c>
      <c r="M32" s="11">
        <f>IF($B32="","",INDEX('Yuri - Book'!$P:$P,$B32))</f>
        <v/>
      </c>
    </row>
    <row r="33">
      <c r="A33" s="11" t="b">
        <v>0</v>
      </c>
      <c r="B33" s="11">
        <f>IFERROR(MATCH(29,'Yuri - Book'!$S$4:$S$203,0)+4-1,"")</f>
        <v/>
      </c>
      <c r="C33" s="11">
        <f>IF($B33="","",INDEX('Yuri - Book'!$A:$A,$B33))</f>
        <v/>
      </c>
      <c r="D33" s="11">
        <f>IF($B33="","",INDEX('Yuri - Book'!$B:$B,$B33))</f>
        <v/>
      </c>
      <c r="E33" s="12">
        <f>IF($B33="","",INDEX('Yuri - Book'!$J:$J,$B33))</f>
        <v/>
      </c>
      <c r="F33" s="11">
        <f>IF($B33="","","Yuri")</f>
        <v/>
      </c>
      <c r="G33" s="11">
        <f>IF($B33="","",INDEX('Yuri - Book'!$C:$C,$B33))</f>
        <v/>
      </c>
      <c r="H33" s="11">
        <f>IF($B33="","",INDEX('Yuri - Book'!$D:$D,$B33))</f>
        <v/>
      </c>
      <c r="I33" s="11">
        <f>IF($B33="","",INDEX('Yuri - Book'!$E:$E,$B33))</f>
        <v/>
      </c>
      <c r="J33" s="11">
        <f>IF($B33="","",INDEX('Yuri - Book'!$F:$F,$B33))</f>
        <v/>
      </c>
      <c r="K33" s="11">
        <f>IF($B33="","",INDEX('Yuri - Book'!$K:$K,$B33))</f>
        <v/>
      </c>
      <c r="L33" s="13">
        <f>IF($B33="","",ROUND(INDEX('Yuri - Book'!$Q:$Q,$B33),0))</f>
        <v/>
      </c>
      <c r="M33" s="11">
        <f>IF($B33="","",INDEX('Yuri - Book'!$P:$P,$B33))</f>
        <v/>
      </c>
    </row>
    <row r="34">
      <c r="A34" s="11" t="b">
        <v>0</v>
      </c>
      <c r="B34" s="11">
        <f>IFERROR(MATCH(30,'Yuri - Book'!$S$4:$S$203,0)+4-1,"")</f>
        <v/>
      </c>
      <c r="C34" s="11">
        <f>IF($B34="","",INDEX('Yuri - Book'!$A:$A,$B34))</f>
        <v/>
      </c>
      <c r="D34" s="11">
        <f>IF($B34="","",INDEX('Yuri - Book'!$B:$B,$B34))</f>
        <v/>
      </c>
      <c r="E34" s="12">
        <f>IF($B34="","",INDEX('Yuri - Book'!$J:$J,$B34))</f>
        <v/>
      </c>
      <c r="F34" s="11">
        <f>IF($B34="","","Yuri")</f>
        <v/>
      </c>
      <c r="G34" s="11">
        <f>IF($B34="","",INDEX('Yuri - Book'!$C:$C,$B34))</f>
        <v/>
      </c>
      <c r="H34" s="11">
        <f>IF($B34="","",INDEX('Yuri - Book'!$D:$D,$B34))</f>
        <v/>
      </c>
      <c r="I34" s="11">
        <f>IF($B34="","",INDEX('Yuri - Book'!$E:$E,$B34))</f>
        <v/>
      </c>
      <c r="J34" s="11">
        <f>IF($B34="","",INDEX('Yuri - Book'!$F:$F,$B34))</f>
        <v/>
      </c>
      <c r="K34" s="11">
        <f>IF($B34="","",INDEX('Yuri - Book'!$K:$K,$B34))</f>
        <v/>
      </c>
      <c r="L34" s="13">
        <f>IF($B34="","",ROUND(INDEX('Yuri - Book'!$Q:$Q,$B34),0))</f>
        <v/>
      </c>
      <c r="M34" s="11">
        <f>IF($B34="","",INDEX('Yuri - Book'!$P:$P,$B34))</f>
        <v/>
      </c>
    </row>
    <row r="35">
      <c r="A35" s="11" t="b">
        <v>0</v>
      </c>
      <c r="B35" s="11">
        <f>IFERROR(MATCH(31,'Yuri - Book'!$S$4:$S$203,0)+4-1,"")</f>
        <v/>
      </c>
      <c r="C35" s="11">
        <f>IF($B35="","",INDEX('Yuri - Book'!$A:$A,$B35))</f>
        <v/>
      </c>
      <c r="D35" s="11">
        <f>IF($B35="","",INDEX('Yuri - Book'!$B:$B,$B35))</f>
        <v/>
      </c>
      <c r="E35" s="12">
        <f>IF($B35="","",INDEX('Yuri - Book'!$J:$J,$B35))</f>
        <v/>
      </c>
      <c r="F35" s="11">
        <f>IF($B35="","","Yuri")</f>
        <v/>
      </c>
      <c r="G35" s="11">
        <f>IF($B35="","",INDEX('Yuri - Book'!$C:$C,$B35))</f>
        <v/>
      </c>
      <c r="H35" s="11">
        <f>IF($B35="","",INDEX('Yuri - Book'!$D:$D,$B35))</f>
        <v/>
      </c>
      <c r="I35" s="11">
        <f>IF($B35="","",INDEX('Yuri - Book'!$E:$E,$B35))</f>
        <v/>
      </c>
      <c r="J35" s="11">
        <f>IF($B35="","",INDEX('Yuri - Book'!$F:$F,$B35))</f>
        <v/>
      </c>
      <c r="K35" s="11">
        <f>IF($B35="","",INDEX('Yuri - Book'!$K:$K,$B35))</f>
        <v/>
      </c>
      <c r="L35" s="13">
        <f>IF($B35="","",ROUND(INDEX('Yuri - Book'!$Q:$Q,$B35),0))</f>
        <v/>
      </c>
      <c r="M35" s="11">
        <f>IF($B35="","",INDEX('Yuri - Book'!$P:$P,$B35))</f>
        <v/>
      </c>
    </row>
    <row r="36">
      <c r="A36" s="11" t="b">
        <v>0</v>
      </c>
      <c r="B36" s="11">
        <f>IFERROR(MATCH(32,'Yuri - Book'!$S$4:$S$203,0)+4-1,"")</f>
        <v/>
      </c>
      <c r="C36" s="11">
        <f>IF($B36="","",INDEX('Yuri - Book'!$A:$A,$B36))</f>
        <v/>
      </c>
      <c r="D36" s="11">
        <f>IF($B36="","",INDEX('Yuri - Book'!$B:$B,$B36))</f>
        <v/>
      </c>
      <c r="E36" s="12">
        <f>IF($B36="","",INDEX('Yuri - Book'!$J:$J,$B36))</f>
        <v/>
      </c>
      <c r="F36" s="11">
        <f>IF($B36="","","Yuri")</f>
        <v/>
      </c>
      <c r="G36" s="11">
        <f>IF($B36="","",INDEX('Yuri - Book'!$C:$C,$B36))</f>
        <v/>
      </c>
      <c r="H36" s="11">
        <f>IF($B36="","",INDEX('Yuri - Book'!$D:$D,$B36))</f>
        <v/>
      </c>
      <c r="I36" s="11">
        <f>IF($B36="","",INDEX('Yuri - Book'!$E:$E,$B36))</f>
        <v/>
      </c>
      <c r="J36" s="11">
        <f>IF($B36="","",INDEX('Yuri - Book'!$F:$F,$B36))</f>
        <v/>
      </c>
      <c r="K36" s="11">
        <f>IF($B36="","",INDEX('Yuri - Book'!$K:$K,$B36))</f>
        <v/>
      </c>
      <c r="L36" s="13">
        <f>IF($B36="","",ROUND(INDEX('Yuri - Book'!$Q:$Q,$B36),0))</f>
        <v/>
      </c>
      <c r="M36" s="11">
        <f>IF($B36="","",INDEX('Yuri - Book'!$P:$P,$B36))</f>
        <v/>
      </c>
    </row>
    <row r="37">
      <c r="A37" s="11" t="b">
        <v>0</v>
      </c>
      <c r="B37" s="11">
        <f>IFERROR(MATCH(33,'Yuri - Book'!$S$4:$S$203,0)+4-1,"")</f>
        <v/>
      </c>
      <c r="C37" s="11">
        <f>IF($B37="","",INDEX('Yuri - Book'!$A:$A,$B37))</f>
        <v/>
      </c>
      <c r="D37" s="11">
        <f>IF($B37="","",INDEX('Yuri - Book'!$B:$B,$B37))</f>
        <v/>
      </c>
      <c r="E37" s="12">
        <f>IF($B37="","",INDEX('Yuri - Book'!$J:$J,$B37))</f>
        <v/>
      </c>
      <c r="F37" s="11">
        <f>IF($B37="","","Yuri")</f>
        <v/>
      </c>
      <c r="G37" s="11">
        <f>IF($B37="","",INDEX('Yuri - Book'!$C:$C,$B37))</f>
        <v/>
      </c>
      <c r="H37" s="11">
        <f>IF($B37="","",INDEX('Yuri - Book'!$D:$D,$B37))</f>
        <v/>
      </c>
      <c r="I37" s="11">
        <f>IF($B37="","",INDEX('Yuri - Book'!$E:$E,$B37))</f>
        <v/>
      </c>
      <c r="J37" s="11">
        <f>IF($B37="","",INDEX('Yuri - Book'!$F:$F,$B37))</f>
        <v/>
      </c>
      <c r="K37" s="11">
        <f>IF($B37="","",INDEX('Yuri - Book'!$K:$K,$B37))</f>
        <v/>
      </c>
      <c r="L37" s="13">
        <f>IF($B37="","",ROUND(INDEX('Yuri - Book'!$Q:$Q,$B37),0))</f>
        <v/>
      </c>
      <c r="M37" s="11">
        <f>IF($B37="","",INDEX('Yuri - Book'!$P:$P,$B37))</f>
        <v/>
      </c>
    </row>
    <row r="38">
      <c r="A38" s="11" t="b">
        <v>0</v>
      </c>
      <c r="B38" s="11">
        <f>IFERROR(MATCH(34,'Yuri - Book'!$S$4:$S$203,0)+4-1,"")</f>
        <v/>
      </c>
      <c r="C38" s="11">
        <f>IF($B38="","",INDEX('Yuri - Book'!$A:$A,$B38))</f>
        <v/>
      </c>
      <c r="D38" s="11">
        <f>IF($B38="","",INDEX('Yuri - Book'!$B:$B,$B38))</f>
        <v/>
      </c>
      <c r="E38" s="12">
        <f>IF($B38="","",INDEX('Yuri - Book'!$J:$J,$B38))</f>
        <v/>
      </c>
      <c r="F38" s="11">
        <f>IF($B38="","","Yuri")</f>
        <v/>
      </c>
      <c r="G38" s="11">
        <f>IF($B38="","",INDEX('Yuri - Book'!$C:$C,$B38))</f>
        <v/>
      </c>
      <c r="H38" s="11">
        <f>IF($B38="","",INDEX('Yuri - Book'!$D:$D,$B38))</f>
        <v/>
      </c>
      <c r="I38" s="11">
        <f>IF($B38="","",INDEX('Yuri - Book'!$E:$E,$B38))</f>
        <v/>
      </c>
      <c r="J38" s="11">
        <f>IF($B38="","",INDEX('Yuri - Book'!$F:$F,$B38))</f>
        <v/>
      </c>
      <c r="K38" s="11">
        <f>IF($B38="","",INDEX('Yuri - Book'!$K:$K,$B38))</f>
        <v/>
      </c>
      <c r="L38" s="13">
        <f>IF($B38="","",ROUND(INDEX('Yuri - Book'!$Q:$Q,$B38),0))</f>
        <v/>
      </c>
      <c r="M38" s="11">
        <f>IF($B38="","",INDEX('Yuri - Book'!$P:$P,$B38))</f>
        <v/>
      </c>
    </row>
    <row r="39">
      <c r="A39" s="11" t="b">
        <v>0</v>
      </c>
      <c r="B39" s="11">
        <f>IFERROR(MATCH(35,'Yuri - Book'!$S$4:$S$203,0)+4-1,"")</f>
        <v/>
      </c>
      <c r="C39" s="11">
        <f>IF($B39="","",INDEX('Yuri - Book'!$A:$A,$B39))</f>
        <v/>
      </c>
      <c r="D39" s="11">
        <f>IF($B39="","",INDEX('Yuri - Book'!$B:$B,$B39))</f>
        <v/>
      </c>
      <c r="E39" s="12">
        <f>IF($B39="","",INDEX('Yuri - Book'!$J:$J,$B39))</f>
        <v/>
      </c>
      <c r="F39" s="11">
        <f>IF($B39="","","Yuri")</f>
        <v/>
      </c>
      <c r="G39" s="11">
        <f>IF($B39="","",INDEX('Yuri - Book'!$C:$C,$B39))</f>
        <v/>
      </c>
      <c r="H39" s="11">
        <f>IF($B39="","",INDEX('Yuri - Book'!$D:$D,$B39))</f>
        <v/>
      </c>
      <c r="I39" s="11">
        <f>IF($B39="","",INDEX('Yuri - Book'!$E:$E,$B39))</f>
        <v/>
      </c>
      <c r="J39" s="11">
        <f>IF($B39="","",INDEX('Yuri - Book'!$F:$F,$B39))</f>
        <v/>
      </c>
      <c r="K39" s="11">
        <f>IF($B39="","",INDEX('Yuri - Book'!$K:$K,$B39))</f>
        <v/>
      </c>
      <c r="L39" s="13">
        <f>IF($B39="","",ROUND(INDEX('Yuri - Book'!$Q:$Q,$B39),0))</f>
        <v/>
      </c>
      <c r="M39" s="11">
        <f>IF($B39="","",INDEX('Yuri - Book'!$P:$P,$B39))</f>
        <v/>
      </c>
    </row>
    <row r="40">
      <c r="A40" s="11" t="b">
        <v>0</v>
      </c>
      <c r="B40" s="11">
        <f>IFERROR(MATCH(36,'Yuri - Book'!$S$4:$S$203,0)+4-1,"")</f>
        <v/>
      </c>
      <c r="C40" s="11">
        <f>IF($B40="","",INDEX('Yuri - Book'!$A:$A,$B40))</f>
        <v/>
      </c>
      <c r="D40" s="11">
        <f>IF($B40="","",INDEX('Yuri - Book'!$B:$B,$B40))</f>
        <v/>
      </c>
      <c r="E40" s="12">
        <f>IF($B40="","",INDEX('Yuri - Book'!$J:$J,$B40))</f>
        <v/>
      </c>
      <c r="F40" s="11">
        <f>IF($B40="","","Yuri")</f>
        <v/>
      </c>
      <c r="G40" s="11">
        <f>IF($B40="","",INDEX('Yuri - Book'!$C:$C,$B40))</f>
        <v/>
      </c>
      <c r="H40" s="11">
        <f>IF($B40="","",INDEX('Yuri - Book'!$D:$D,$B40))</f>
        <v/>
      </c>
      <c r="I40" s="11">
        <f>IF($B40="","",INDEX('Yuri - Book'!$E:$E,$B40))</f>
        <v/>
      </c>
      <c r="J40" s="11">
        <f>IF($B40="","",INDEX('Yuri - Book'!$F:$F,$B40))</f>
        <v/>
      </c>
      <c r="K40" s="11">
        <f>IF($B40="","",INDEX('Yuri - Book'!$K:$K,$B40))</f>
        <v/>
      </c>
      <c r="L40" s="13">
        <f>IF($B40="","",ROUND(INDEX('Yuri - Book'!$Q:$Q,$B40),0))</f>
        <v/>
      </c>
      <c r="M40" s="11">
        <f>IF($B40="","",INDEX('Yuri - Book'!$P:$P,$B40))</f>
        <v/>
      </c>
    </row>
    <row r="41">
      <c r="A41" s="11" t="b">
        <v>0</v>
      </c>
      <c r="B41" s="11">
        <f>IFERROR(MATCH(37,'Yuri - Book'!$S$4:$S$203,0)+4-1,"")</f>
        <v/>
      </c>
      <c r="C41" s="11">
        <f>IF($B41="","",INDEX('Yuri - Book'!$A:$A,$B41))</f>
        <v/>
      </c>
      <c r="D41" s="11">
        <f>IF($B41="","",INDEX('Yuri - Book'!$B:$B,$B41))</f>
        <v/>
      </c>
      <c r="E41" s="12">
        <f>IF($B41="","",INDEX('Yuri - Book'!$J:$J,$B41))</f>
        <v/>
      </c>
      <c r="F41" s="11">
        <f>IF($B41="","","Yuri")</f>
        <v/>
      </c>
      <c r="G41" s="11">
        <f>IF($B41="","",INDEX('Yuri - Book'!$C:$C,$B41))</f>
        <v/>
      </c>
      <c r="H41" s="11">
        <f>IF($B41="","",INDEX('Yuri - Book'!$D:$D,$B41))</f>
        <v/>
      </c>
      <c r="I41" s="11">
        <f>IF($B41="","",INDEX('Yuri - Book'!$E:$E,$B41))</f>
        <v/>
      </c>
      <c r="J41" s="11">
        <f>IF($B41="","",INDEX('Yuri - Book'!$F:$F,$B41))</f>
        <v/>
      </c>
      <c r="K41" s="11">
        <f>IF($B41="","",INDEX('Yuri - Book'!$K:$K,$B41))</f>
        <v/>
      </c>
      <c r="L41" s="13">
        <f>IF($B41="","",ROUND(INDEX('Yuri - Book'!$Q:$Q,$B41),0))</f>
        <v/>
      </c>
      <c r="M41" s="11">
        <f>IF($B41="","",INDEX('Yuri - Book'!$P:$P,$B41))</f>
        <v/>
      </c>
    </row>
    <row r="42">
      <c r="A42" s="11" t="b">
        <v>0</v>
      </c>
      <c r="B42" s="11">
        <f>IFERROR(MATCH(38,'Yuri - Book'!$S$4:$S$203,0)+4-1,"")</f>
        <v/>
      </c>
      <c r="C42" s="11">
        <f>IF($B42="","",INDEX('Yuri - Book'!$A:$A,$B42))</f>
        <v/>
      </c>
      <c r="D42" s="11">
        <f>IF($B42="","",INDEX('Yuri - Book'!$B:$B,$B42))</f>
        <v/>
      </c>
      <c r="E42" s="12">
        <f>IF($B42="","",INDEX('Yuri - Book'!$J:$J,$B42))</f>
        <v/>
      </c>
      <c r="F42" s="11">
        <f>IF($B42="","","Yuri")</f>
        <v/>
      </c>
      <c r="G42" s="11">
        <f>IF($B42="","",INDEX('Yuri - Book'!$C:$C,$B42))</f>
        <v/>
      </c>
      <c r="H42" s="11">
        <f>IF($B42="","",INDEX('Yuri - Book'!$D:$D,$B42))</f>
        <v/>
      </c>
      <c r="I42" s="11">
        <f>IF($B42="","",INDEX('Yuri - Book'!$E:$E,$B42))</f>
        <v/>
      </c>
      <c r="J42" s="11">
        <f>IF($B42="","",INDEX('Yuri - Book'!$F:$F,$B42))</f>
        <v/>
      </c>
      <c r="K42" s="11">
        <f>IF($B42="","",INDEX('Yuri - Book'!$K:$K,$B42))</f>
        <v/>
      </c>
      <c r="L42" s="13">
        <f>IF($B42="","",ROUND(INDEX('Yuri - Book'!$Q:$Q,$B42),0))</f>
        <v/>
      </c>
      <c r="M42" s="11">
        <f>IF($B42="","",INDEX('Yuri - Book'!$P:$P,$B42))</f>
        <v/>
      </c>
    </row>
    <row r="43">
      <c r="A43" s="11" t="b">
        <v>0</v>
      </c>
      <c r="B43" s="11">
        <f>IFERROR(MATCH(39,'Yuri - Book'!$S$4:$S$203,0)+4-1,"")</f>
        <v/>
      </c>
      <c r="C43" s="11">
        <f>IF($B43="","",INDEX('Yuri - Book'!$A:$A,$B43))</f>
        <v/>
      </c>
      <c r="D43" s="11">
        <f>IF($B43="","",INDEX('Yuri - Book'!$B:$B,$B43))</f>
        <v/>
      </c>
      <c r="E43" s="12">
        <f>IF($B43="","",INDEX('Yuri - Book'!$J:$J,$B43))</f>
        <v/>
      </c>
      <c r="F43" s="11">
        <f>IF($B43="","","Yuri")</f>
        <v/>
      </c>
      <c r="G43" s="11">
        <f>IF($B43="","",INDEX('Yuri - Book'!$C:$C,$B43))</f>
        <v/>
      </c>
      <c r="H43" s="11">
        <f>IF($B43="","",INDEX('Yuri - Book'!$D:$D,$B43))</f>
        <v/>
      </c>
      <c r="I43" s="11">
        <f>IF($B43="","",INDEX('Yuri - Book'!$E:$E,$B43))</f>
        <v/>
      </c>
      <c r="J43" s="11">
        <f>IF($B43="","",INDEX('Yuri - Book'!$F:$F,$B43))</f>
        <v/>
      </c>
      <c r="K43" s="11">
        <f>IF($B43="","",INDEX('Yuri - Book'!$K:$K,$B43))</f>
        <v/>
      </c>
      <c r="L43" s="13">
        <f>IF($B43="","",ROUND(INDEX('Yuri - Book'!$Q:$Q,$B43),0))</f>
        <v/>
      </c>
      <c r="M43" s="11">
        <f>IF($B43="","",INDEX('Yuri - Book'!$P:$P,$B43))</f>
        <v/>
      </c>
    </row>
    <row r="44">
      <c r="A44" s="11" t="b">
        <v>0</v>
      </c>
      <c r="B44" s="11">
        <f>IFERROR(MATCH(40,'Yuri - Book'!$S$4:$S$203,0)+4-1,"")</f>
        <v/>
      </c>
      <c r="C44" s="11">
        <f>IF($B44="","",INDEX('Yuri - Book'!$A:$A,$B44))</f>
        <v/>
      </c>
      <c r="D44" s="11">
        <f>IF($B44="","",INDEX('Yuri - Book'!$B:$B,$B44))</f>
        <v/>
      </c>
      <c r="E44" s="12">
        <f>IF($B44="","",INDEX('Yuri - Book'!$J:$J,$B44))</f>
        <v/>
      </c>
      <c r="F44" s="11">
        <f>IF($B44="","","Yuri")</f>
        <v/>
      </c>
      <c r="G44" s="11">
        <f>IF($B44="","",INDEX('Yuri - Book'!$C:$C,$B44))</f>
        <v/>
      </c>
      <c r="H44" s="11">
        <f>IF($B44="","",INDEX('Yuri - Book'!$D:$D,$B44))</f>
        <v/>
      </c>
      <c r="I44" s="11">
        <f>IF($B44="","",INDEX('Yuri - Book'!$E:$E,$B44))</f>
        <v/>
      </c>
      <c r="J44" s="11">
        <f>IF($B44="","",INDEX('Yuri - Book'!$F:$F,$B44))</f>
        <v/>
      </c>
      <c r="K44" s="11">
        <f>IF($B44="","",INDEX('Yuri - Book'!$K:$K,$B44))</f>
        <v/>
      </c>
      <c r="L44" s="13">
        <f>IF($B44="","",ROUND(INDEX('Yuri - Book'!$Q:$Q,$B44),0))</f>
        <v/>
      </c>
      <c r="M44" s="11">
        <f>IF($B44="","",INDEX('Yuri - Book'!$P:$P,$B44))</f>
        <v/>
      </c>
    </row>
    <row r="45">
      <c r="A45" s="11" t="b">
        <v>0</v>
      </c>
      <c r="B45" s="11">
        <f>IFERROR(MATCH(41,'Yuri - Book'!$S$4:$S$203,0)+4-1,"")</f>
        <v/>
      </c>
      <c r="C45" s="11">
        <f>IF($B45="","",INDEX('Yuri - Book'!$A:$A,$B45))</f>
        <v/>
      </c>
      <c r="D45" s="11">
        <f>IF($B45="","",INDEX('Yuri - Book'!$B:$B,$B45))</f>
        <v/>
      </c>
      <c r="E45" s="12">
        <f>IF($B45="","",INDEX('Yuri - Book'!$J:$J,$B45))</f>
        <v/>
      </c>
      <c r="F45" s="11">
        <f>IF($B45="","","Yuri")</f>
        <v/>
      </c>
      <c r="G45" s="11">
        <f>IF($B45="","",INDEX('Yuri - Book'!$C:$C,$B45))</f>
        <v/>
      </c>
      <c r="H45" s="11">
        <f>IF($B45="","",INDEX('Yuri - Book'!$D:$D,$B45))</f>
        <v/>
      </c>
      <c r="I45" s="11">
        <f>IF($B45="","",INDEX('Yuri - Book'!$E:$E,$B45))</f>
        <v/>
      </c>
      <c r="J45" s="11">
        <f>IF($B45="","",INDEX('Yuri - Book'!$F:$F,$B45))</f>
        <v/>
      </c>
      <c r="K45" s="11">
        <f>IF($B45="","",INDEX('Yuri - Book'!$K:$K,$B45))</f>
        <v/>
      </c>
      <c r="L45" s="13">
        <f>IF($B45="","",ROUND(INDEX('Yuri - Book'!$Q:$Q,$B45),0))</f>
        <v/>
      </c>
      <c r="M45" s="11">
        <f>IF($B45="","",INDEX('Yuri - Book'!$P:$P,$B45))</f>
        <v/>
      </c>
    </row>
    <row r="46">
      <c r="A46" s="11" t="b">
        <v>0</v>
      </c>
      <c r="B46" s="11">
        <f>IFERROR(MATCH(42,'Yuri - Book'!$S$4:$S$203,0)+4-1,"")</f>
        <v/>
      </c>
      <c r="C46" s="11">
        <f>IF($B46="","",INDEX('Yuri - Book'!$A:$A,$B46))</f>
        <v/>
      </c>
      <c r="D46" s="11">
        <f>IF($B46="","",INDEX('Yuri - Book'!$B:$B,$B46))</f>
        <v/>
      </c>
      <c r="E46" s="12">
        <f>IF($B46="","",INDEX('Yuri - Book'!$J:$J,$B46))</f>
        <v/>
      </c>
      <c r="F46" s="11">
        <f>IF($B46="","","Yuri")</f>
        <v/>
      </c>
      <c r="G46" s="11">
        <f>IF($B46="","",INDEX('Yuri - Book'!$C:$C,$B46))</f>
        <v/>
      </c>
      <c r="H46" s="11">
        <f>IF($B46="","",INDEX('Yuri - Book'!$D:$D,$B46))</f>
        <v/>
      </c>
      <c r="I46" s="11">
        <f>IF($B46="","",INDEX('Yuri - Book'!$E:$E,$B46))</f>
        <v/>
      </c>
      <c r="J46" s="11">
        <f>IF($B46="","",INDEX('Yuri - Book'!$F:$F,$B46))</f>
        <v/>
      </c>
      <c r="K46" s="11">
        <f>IF($B46="","",INDEX('Yuri - Book'!$K:$K,$B46))</f>
        <v/>
      </c>
      <c r="L46" s="13">
        <f>IF($B46="","",ROUND(INDEX('Yuri - Book'!$Q:$Q,$B46),0))</f>
        <v/>
      </c>
      <c r="M46" s="11">
        <f>IF($B46="","",INDEX('Yuri - Book'!$P:$P,$B46))</f>
        <v/>
      </c>
    </row>
    <row r="47">
      <c r="A47" s="11" t="b">
        <v>0</v>
      </c>
      <c r="B47" s="11">
        <f>IFERROR(MATCH(43,'Yuri - Book'!$S$4:$S$203,0)+4-1,"")</f>
        <v/>
      </c>
      <c r="C47" s="11">
        <f>IF($B47="","",INDEX('Yuri - Book'!$A:$A,$B47))</f>
        <v/>
      </c>
      <c r="D47" s="11">
        <f>IF($B47="","",INDEX('Yuri - Book'!$B:$B,$B47))</f>
        <v/>
      </c>
      <c r="E47" s="12">
        <f>IF($B47="","",INDEX('Yuri - Book'!$J:$J,$B47))</f>
        <v/>
      </c>
      <c r="F47" s="11">
        <f>IF($B47="","","Yuri")</f>
        <v/>
      </c>
      <c r="G47" s="11">
        <f>IF($B47="","",INDEX('Yuri - Book'!$C:$C,$B47))</f>
        <v/>
      </c>
      <c r="H47" s="11">
        <f>IF($B47="","",INDEX('Yuri - Book'!$D:$D,$B47))</f>
        <v/>
      </c>
      <c r="I47" s="11">
        <f>IF($B47="","",INDEX('Yuri - Book'!$E:$E,$B47))</f>
        <v/>
      </c>
      <c r="J47" s="11">
        <f>IF($B47="","",INDEX('Yuri - Book'!$F:$F,$B47))</f>
        <v/>
      </c>
      <c r="K47" s="11">
        <f>IF($B47="","",INDEX('Yuri - Book'!$K:$K,$B47))</f>
        <v/>
      </c>
      <c r="L47" s="13">
        <f>IF($B47="","",ROUND(INDEX('Yuri - Book'!$Q:$Q,$B47),0))</f>
        <v/>
      </c>
      <c r="M47" s="11">
        <f>IF($B47="","",INDEX('Yuri - Book'!$P:$P,$B47))</f>
        <v/>
      </c>
    </row>
    <row r="48">
      <c r="A48" s="11" t="b">
        <v>0</v>
      </c>
      <c r="B48" s="11">
        <f>IFERROR(MATCH(44,'Yuri - Book'!$S$4:$S$203,0)+4-1,"")</f>
        <v/>
      </c>
      <c r="C48" s="11">
        <f>IF($B48="","",INDEX('Yuri - Book'!$A:$A,$B48))</f>
        <v/>
      </c>
      <c r="D48" s="11">
        <f>IF($B48="","",INDEX('Yuri - Book'!$B:$B,$B48))</f>
        <v/>
      </c>
      <c r="E48" s="12">
        <f>IF($B48="","",INDEX('Yuri - Book'!$J:$J,$B48))</f>
        <v/>
      </c>
      <c r="F48" s="11">
        <f>IF($B48="","","Yuri")</f>
        <v/>
      </c>
      <c r="G48" s="11">
        <f>IF($B48="","",INDEX('Yuri - Book'!$C:$C,$B48))</f>
        <v/>
      </c>
      <c r="H48" s="11">
        <f>IF($B48="","",INDEX('Yuri - Book'!$D:$D,$B48))</f>
        <v/>
      </c>
      <c r="I48" s="11">
        <f>IF($B48="","",INDEX('Yuri - Book'!$E:$E,$B48))</f>
        <v/>
      </c>
      <c r="J48" s="11">
        <f>IF($B48="","",INDEX('Yuri - Book'!$F:$F,$B48))</f>
        <v/>
      </c>
      <c r="K48" s="11">
        <f>IF($B48="","",INDEX('Yuri - Book'!$K:$K,$B48))</f>
        <v/>
      </c>
      <c r="L48" s="13">
        <f>IF($B48="","",ROUND(INDEX('Yuri - Book'!$Q:$Q,$B48),0))</f>
        <v/>
      </c>
      <c r="M48" s="11">
        <f>IF($B48="","",INDEX('Yuri - Book'!$P:$P,$B48))</f>
        <v/>
      </c>
    </row>
    <row r="49">
      <c r="A49" s="11" t="b">
        <v>0</v>
      </c>
      <c r="B49" s="11">
        <f>IFERROR(MATCH(45,'Yuri - Book'!$S$4:$S$203,0)+4-1,"")</f>
        <v/>
      </c>
      <c r="C49" s="11">
        <f>IF($B49="","",INDEX('Yuri - Book'!$A:$A,$B49))</f>
        <v/>
      </c>
      <c r="D49" s="11">
        <f>IF($B49="","",INDEX('Yuri - Book'!$B:$B,$B49))</f>
        <v/>
      </c>
      <c r="E49" s="12">
        <f>IF($B49="","",INDEX('Yuri - Book'!$J:$J,$B49))</f>
        <v/>
      </c>
      <c r="F49" s="11">
        <f>IF($B49="","","Yuri")</f>
        <v/>
      </c>
      <c r="G49" s="11">
        <f>IF($B49="","",INDEX('Yuri - Book'!$C:$C,$B49))</f>
        <v/>
      </c>
      <c r="H49" s="11">
        <f>IF($B49="","",INDEX('Yuri - Book'!$D:$D,$B49))</f>
        <v/>
      </c>
      <c r="I49" s="11">
        <f>IF($B49="","",INDEX('Yuri - Book'!$E:$E,$B49))</f>
        <v/>
      </c>
      <c r="J49" s="11">
        <f>IF($B49="","",INDEX('Yuri - Book'!$F:$F,$B49))</f>
        <v/>
      </c>
      <c r="K49" s="11">
        <f>IF($B49="","",INDEX('Yuri - Book'!$K:$K,$B49))</f>
        <v/>
      </c>
      <c r="L49" s="13">
        <f>IF($B49="","",ROUND(INDEX('Yuri - Book'!$Q:$Q,$B49),0))</f>
        <v/>
      </c>
      <c r="M49" s="11">
        <f>IF($B49="","",INDEX('Yuri - Book'!$P:$P,$B49))</f>
        <v/>
      </c>
    </row>
    <row r="50">
      <c r="A50" s="11" t="b">
        <v>0</v>
      </c>
      <c r="B50" s="11">
        <f>IFERROR(MATCH(46,'Yuri - Book'!$S$4:$S$203,0)+4-1,"")</f>
        <v/>
      </c>
      <c r="C50" s="11">
        <f>IF($B50="","",INDEX('Yuri - Book'!$A:$A,$B50))</f>
        <v/>
      </c>
      <c r="D50" s="11">
        <f>IF($B50="","",INDEX('Yuri - Book'!$B:$B,$B50))</f>
        <v/>
      </c>
      <c r="E50" s="12">
        <f>IF($B50="","",INDEX('Yuri - Book'!$J:$J,$B50))</f>
        <v/>
      </c>
      <c r="F50" s="11">
        <f>IF($B50="","","Yuri")</f>
        <v/>
      </c>
      <c r="G50" s="11">
        <f>IF($B50="","",INDEX('Yuri - Book'!$C:$C,$B50))</f>
        <v/>
      </c>
      <c r="H50" s="11">
        <f>IF($B50="","",INDEX('Yuri - Book'!$D:$D,$B50))</f>
        <v/>
      </c>
      <c r="I50" s="11">
        <f>IF($B50="","",INDEX('Yuri - Book'!$E:$E,$B50))</f>
        <v/>
      </c>
      <c r="J50" s="11">
        <f>IF($B50="","",INDEX('Yuri - Book'!$F:$F,$B50))</f>
        <v/>
      </c>
      <c r="K50" s="11">
        <f>IF($B50="","",INDEX('Yuri - Book'!$K:$K,$B50))</f>
        <v/>
      </c>
      <c r="L50" s="13">
        <f>IF($B50="","",ROUND(INDEX('Yuri - Book'!$Q:$Q,$B50),0))</f>
        <v/>
      </c>
      <c r="M50" s="11">
        <f>IF($B50="","",INDEX('Yuri - Book'!$P:$P,$B50))</f>
        <v/>
      </c>
    </row>
    <row r="51">
      <c r="A51" s="11" t="b">
        <v>0</v>
      </c>
      <c r="B51" s="11">
        <f>IFERROR(MATCH(47,'Yuri - Book'!$S$4:$S$203,0)+4-1,"")</f>
        <v/>
      </c>
      <c r="C51" s="11">
        <f>IF($B51="","",INDEX('Yuri - Book'!$A:$A,$B51))</f>
        <v/>
      </c>
      <c r="D51" s="11">
        <f>IF($B51="","",INDEX('Yuri - Book'!$B:$B,$B51))</f>
        <v/>
      </c>
      <c r="E51" s="12">
        <f>IF($B51="","",INDEX('Yuri - Book'!$J:$J,$B51))</f>
        <v/>
      </c>
      <c r="F51" s="11">
        <f>IF($B51="","","Yuri")</f>
        <v/>
      </c>
      <c r="G51" s="11">
        <f>IF($B51="","",INDEX('Yuri - Book'!$C:$C,$B51))</f>
        <v/>
      </c>
      <c r="H51" s="11">
        <f>IF($B51="","",INDEX('Yuri - Book'!$D:$D,$B51))</f>
        <v/>
      </c>
      <c r="I51" s="11">
        <f>IF($B51="","",INDEX('Yuri - Book'!$E:$E,$B51))</f>
        <v/>
      </c>
      <c r="J51" s="11">
        <f>IF($B51="","",INDEX('Yuri - Book'!$F:$F,$B51))</f>
        <v/>
      </c>
      <c r="K51" s="11">
        <f>IF($B51="","",INDEX('Yuri - Book'!$K:$K,$B51))</f>
        <v/>
      </c>
      <c r="L51" s="13">
        <f>IF($B51="","",ROUND(INDEX('Yuri - Book'!$Q:$Q,$B51),0))</f>
        <v/>
      </c>
      <c r="M51" s="11">
        <f>IF($B51="","",INDEX('Yuri - Book'!$P:$P,$B51))</f>
        <v/>
      </c>
    </row>
    <row r="52">
      <c r="A52" s="11" t="b">
        <v>0</v>
      </c>
      <c r="B52" s="11">
        <f>IFERROR(MATCH(48,'Yuri - Book'!$S$4:$S$203,0)+4-1,"")</f>
        <v/>
      </c>
      <c r="C52" s="11">
        <f>IF($B52="","",INDEX('Yuri - Book'!$A:$A,$B52))</f>
        <v/>
      </c>
      <c r="D52" s="11">
        <f>IF($B52="","",INDEX('Yuri - Book'!$B:$B,$B52))</f>
        <v/>
      </c>
      <c r="E52" s="12">
        <f>IF($B52="","",INDEX('Yuri - Book'!$J:$J,$B52))</f>
        <v/>
      </c>
      <c r="F52" s="11">
        <f>IF($B52="","","Yuri")</f>
        <v/>
      </c>
      <c r="G52" s="11">
        <f>IF($B52="","",INDEX('Yuri - Book'!$C:$C,$B52))</f>
        <v/>
      </c>
      <c r="H52" s="11">
        <f>IF($B52="","",INDEX('Yuri - Book'!$D:$D,$B52))</f>
        <v/>
      </c>
      <c r="I52" s="11">
        <f>IF($B52="","",INDEX('Yuri - Book'!$E:$E,$B52))</f>
        <v/>
      </c>
      <c r="J52" s="11">
        <f>IF($B52="","",INDEX('Yuri - Book'!$F:$F,$B52))</f>
        <v/>
      </c>
      <c r="K52" s="11">
        <f>IF($B52="","",INDEX('Yuri - Book'!$K:$K,$B52))</f>
        <v/>
      </c>
      <c r="L52" s="13">
        <f>IF($B52="","",ROUND(INDEX('Yuri - Book'!$Q:$Q,$B52),0))</f>
        <v/>
      </c>
      <c r="M52" s="11">
        <f>IF($B52="","",INDEX('Yuri - Book'!$P:$P,$B52))</f>
        <v/>
      </c>
    </row>
    <row r="53">
      <c r="A53" s="11" t="b">
        <v>0</v>
      </c>
      <c r="B53" s="11">
        <f>IFERROR(MATCH(49,'Yuri - Book'!$S$4:$S$203,0)+4-1,"")</f>
        <v/>
      </c>
      <c r="C53" s="11">
        <f>IF($B53="","",INDEX('Yuri - Book'!$A:$A,$B53))</f>
        <v/>
      </c>
      <c r="D53" s="11">
        <f>IF($B53="","",INDEX('Yuri - Book'!$B:$B,$B53))</f>
        <v/>
      </c>
      <c r="E53" s="12">
        <f>IF($B53="","",INDEX('Yuri - Book'!$J:$J,$B53))</f>
        <v/>
      </c>
      <c r="F53" s="11">
        <f>IF($B53="","","Yuri")</f>
        <v/>
      </c>
      <c r="G53" s="11">
        <f>IF($B53="","",INDEX('Yuri - Book'!$C:$C,$B53))</f>
        <v/>
      </c>
      <c r="H53" s="11">
        <f>IF($B53="","",INDEX('Yuri - Book'!$D:$D,$B53))</f>
        <v/>
      </c>
      <c r="I53" s="11">
        <f>IF($B53="","",INDEX('Yuri - Book'!$E:$E,$B53))</f>
        <v/>
      </c>
      <c r="J53" s="11">
        <f>IF($B53="","",INDEX('Yuri - Book'!$F:$F,$B53))</f>
        <v/>
      </c>
      <c r="K53" s="11">
        <f>IF($B53="","",INDEX('Yuri - Book'!$K:$K,$B53))</f>
        <v/>
      </c>
      <c r="L53" s="13">
        <f>IF($B53="","",ROUND(INDEX('Yuri - Book'!$Q:$Q,$B53),0))</f>
        <v/>
      </c>
      <c r="M53" s="11">
        <f>IF($B53="","",INDEX('Yuri - Book'!$P:$P,$B53))</f>
        <v/>
      </c>
    </row>
    <row r="54">
      <c r="A54" s="11" t="b">
        <v>0</v>
      </c>
      <c r="B54" s="11">
        <f>IFERROR(MATCH(50,'Yuri - Book'!$S$4:$S$203,0)+4-1,"")</f>
        <v/>
      </c>
      <c r="C54" s="11">
        <f>IF($B54="","",INDEX('Yuri - Book'!$A:$A,$B54))</f>
        <v/>
      </c>
      <c r="D54" s="11">
        <f>IF($B54="","",INDEX('Yuri - Book'!$B:$B,$B54))</f>
        <v/>
      </c>
      <c r="E54" s="12">
        <f>IF($B54="","",INDEX('Yuri - Book'!$J:$J,$B54))</f>
        <v/>
      </c>
      <c r="F54" s="11">
        <f>IF($B54="","","Yuri")</f>
        <v/>
      </c>
      <c r="G54" s="11">
        <f>IF($B54="","",INDEX('Yuri - Book'!$C:$C,$B54))</f>
        <v/>
      </c>
      <c r="H54" s="11">
        <f>IF($B54="","",INDEX('Yuri - Book'!$D:$D,$B54))</f>
        <v/>
      </c>
      <c r="I54" s="11">
        <f>IF($B54="","",INDEX('Yuri - Book'!$E:$E,$B54))</f>
        <v/>
      </c>
      <c r="J54" s="11">
        <f>IF($B54="","",INDEX('Yuri - Book'!$F:$F,$B54))</f>
        <v/>
      </c>
      <c r="K54" s="11">
        <f>IF($B54="","",INDEX('Yuri - Book'!$K:$K,$B54))</f>
        <v/>
      </c>
      <c r="L54" s="13">
        <f>IF($B54="","",ROUND(INDEX('Yuri - Book'!$Q:$Q,$B54),0))</f>
        <v/>
      </c>
      <c r="M54" s="11">
        <f>IF($B54="","",INDEX('Yuri - Book'!$P:$P,$B54))</f>
        <v/>
      </c>
    </row>
    <row r="55">
      <c r="A55" s="11" t="b">
        <v>0</v>
      </c>
      <c r="B55" s="11">
        <f>IFERROR(MATCH(51,'Yuri - Book'!$S$4:$S$203,0)+4-1,"")</f>
        <v/>
      </c>
      <c r="C55" s="11">
        <f>IF($B55="","",INDEX('Yuri - Book'!$A:$A,$B55))</f>
        <v/>
      </c>
      <c r="D55" s="11">
        <f>IF($B55="","",INDEX('Yuri - Book'!$B:$B,$B55))</f>
        <v/>
      </c>
      <c r="E55" s="12">
        <f>IF($B55="","",INDEX('Yuri - Book'!$J:$J,$B55))</f>
        <v/>
      </c>
      <c r="F55" s="11">
        <f>IF($B55="","","Yuri")</f>
        <v/>
      </c>
      <c r="G55" s="11">
        <f>IF($B55="","",INDEX('Yuri - Book'!$C:$C,$B55))</f>
        <v/>
      </c>
      <c r="H55" s="11">
        <f>IF($B55="","",INDEX('Yuri - Book'!$D:$D,$B55))</f>
        <v/>
      </c>
      <c r="I55" s="11">
        <f>IF($B55="","",INDEX('Yuri - Book'!$E:$E,$B55))</f>
        <v/>
      </c>
      <c r="J55" s="11">
        <f>IF($B55="","",INDEX('Yuri - Book'!$F:$F,$B55))</f>
        <v/>
      </c>
      <c r="K55" s="11">
        <f>IF($B55="","",INDEX('Yuri - Book'!$K:$K,$B55))</f>
        <v/>
      </c>
      <c r="L55" s="13">
        <f>IF($B55="","",ROUND(INDEX('Yuri - Book'!$Q:$Q,$B55),0))</f>
        <v/>
      </c>
      <c r="M55" s="11">
        <f>IF($B55="","",INDEX('Yuri - Book'!$P:$P,$B55))</f>
        <v/>
      </c>
    </row>
    <row r="56">
      <c r="A56" s="11" t="b">
        <v>0</v>
      </c>
      <c r="B56" s="11">
        <f>IFERROR(MATCH(52,'Yuri - Book'!$S$4:$S$203,0)+4-1,"")</f>
        <v/>
      </c>
      <c r="C56" s="11">
        <f>IF($B56="","",INDEX('Yuri - Book'!$A:$A,$B56))</f>
        <v/>
      </c>
      <c r="D56" s="11">
        <f>IF($B56="","",INDEX('Yuri - Book'!$B:$B,$B56))</f>
        <v/>
      </c>
      <c r="E56" s="12">
        <f>IF($B56="","",INDEX('Yuri - Book'!$J:$J,$B56))</f>
        <v/>
      </c>
      <c r="F56" s="11">
        <f>IF($B56="","","Yuri")</f>
        <v/>
      </c>
      <c r="G56" s="11">
        <f>IF($B56="","",INDEX('Yuri - Book'!$C:$C,$B56))</f>
        <v/>
      </c>
      <c r="H56" s="11">
        <f>IF($B56="","",INDEX('Yuri - Book'!$D:$D,$B56))</f>
        <v/>
      </c>
      <c r="I56" s="11">
        <f>IF($B56="","",INDEX('Yuri - Book'!$E:$E,$B56))</f>
        <v/>
      </c>
      <c r="J56" s="11">
        <f>IF($B56="","",INDEX('Yuri - Book'!$F:$F,$B56))</f>
        <v/>
      </c>
      <c r="K56" s="11">
        <f>IF($B56="","",INDEX('Yuri - Book'!$K:$K,$B56))</f>
        <v/>
      </c>
      <c r="L56" s="13">
        <f>IF($B56="","",ROUND(INDEX('Yuri - Book'!$Q:$Q,$B56),0))</f>
        <v/>
      </c>
      <c r="M56" s="11">
        <f>IF($B56="","",INDEX('Yuri - Book'!$P:$P,$B56))</f>
        <v/>
      </c>
    </row>
    <row r="57">
      <c r="A57" s="11" t="b">
        <v>0</v>
      </c>
      <c r="B57" s="11">
        <f>IFERROR(MATCH(53,'Yuri - Book'!$S$4:$S$203,0)+4-1,"")</f>
        <v/>
      </c>
      <c r="C57" s="11">
        <f>IF($B57="","",INDEX('Yuri - Book'!$A:$A,$B57))</f>
        <v/>
      </c>
      <c r="D57" s="11">
        <f>IF($B57="","",INDEX('Yuri - Book'!$B:$B,$B57))</f>
        <v/>
      </c>
      <c r="E57" s="12">
        <f>IF($B57="","",INDEX('Yuri - Book'!$J:$J,$B57))</f>
        <v/>
      </c>
      <c r="F57" s="11">
        <f>IF($B57="","","Yuri")</f>
        <v/>
      </c>
      <c r="G57" s="11">
        <f>IF($B57="","",INDEX('Yuri - Book'!$C:$C,$B57))</f>
        <v/>
      </c>
      <c r="H57" s="11">
        <f>IF($B57="","",INDEX('Yuri - Book'!$D:$D,$B57))</f>
        <v/>
      </c>
      <c r="I57" s="11">
        <f>IF($B57="","",INDEX('Yuri - Book'!$E:$E,$B57))</f>
        <v/>
      </c>
      <c r="J57" s="11">
        <f>IF($B57="","",INDEX('Yuri - Book'!$F:$F,$B57))</f>
        <v/>
      </c>
      <c r="K57" s="11">
        <f>IF($B57="","",INDEX('Yuri - Book'!$K:$K,$B57))</f>
        <v/>
      </c>
      <c r="L57" s="13">
        <f>IF($B57="","",ROUND(INDEX('Yuri - Book'!$Q:$Q,$B57),0))</f>
        <v/>
      </c>
      <c r="M57" s="11">
        <f>IF($B57="","",INDEX('Yuri - Book'!$P:$P,$B57))</f>
        <v/>
      </c>
    </row>
    <row r="58">
      <c r="A58" s="11" t="b">
        <v>0</v>
      </c>
      <c r="B58" s="11">
        <f>IFERROR(MATCH(54,'Yuri - Book'!$S$4:$S$203,0)+4-1,"")</f>
        <v/>
      </c>
      <c r="C58" s="11">
        <f>IF($B58="","",INDEX('Yuri - Book'!$A:$A,$B58))</f>
        <v/>
      </c>
      <c r="D58" s="11">
        <f>IF($B58="","",INDEX('Yuri - Book'!$B:$B,$B58))</f>
        <v/>
      </c>
      <c r="E58" s="12">
        <f>IF($B58="","",INDEX('Yuri - Book'!$J:$J,$B58))</f>
        <v/>
      </c>
      <c r="F58" s="11">
        <f>IF($B58="","","Yuri")</f>
        <v/>
      </c>
      <c r="G58" s="11">
        <f>IF($B58="","",INDEX('Yuri - Book'!$C:$C,$B58))</f>
        <v/>
      </c>
      <c r="H58" s="11">
        <f>IF($B58="","",INDEX('Yuri - Book'!$D:$D,$B58))</f>
        <v/>
      </c>
      <c r="I58" s="11">
        <f>IF($B58="","",INDEX('Yuri - Book'!$E:$E,$B58))</f>
        <v/>
      </c>
      <c r="J58" s="11">
        <f>IF($B58="","",INDEX('Yuri - Book'!$F:$F,$B58))</f>
        <v/>
      </c>
      <c r="K58" s="11">
        <f>IF($B58="","",INDEX('Yuri - Book'!$K:$K,$B58))</f>
        <v/>
      </c>
      <c r="L58" s="13">
        <f>IF($B58="","",ROUND(INDEX('Yuri - Book'!$Q:$Q,$B58),0))</f>
        <v/>
      </c>
      <c r="M58" s="11">
        <f>IF($B58="","",INDEX('Yuri - Book'!$P:$P,$B58))</f>
        <v/>
      </c>
    </row>
    <row r="59">
      <c r="A59" s="11" t="b">
        <v>0</v>
      </c>
      <c r="B59" s="11">
        <f>IFERROR(MATCH(55,'Yuri - Book'!$S$4:$S$203,0)+4-1,"")</f>
        <v/>
      </c>
      <c r="C59" s="11">
        <f>IF($B59="","",INDEX('Yuri - Book'!$A:$A,$B59))</f>
        <v/>
      </c>
      <c r="D59" s="11">
        <f>IF($B59="","",INDEX('Yuri - Book'!$B:$B,$B59))</f>
        <v/>
      </c>
      <c r="E59" s="12">
        <f>IF($B59="","",INDEX('Yuri - Book'!$J:$J,$B59))</f>
        <v/>
      </c>
      <c r="F59" s="11">
        <f>IF($B59="","","Yuri")</f>
        <v/>
      </c>
      <c r="G59" s="11">
        <f>IF($B59="","",INDEX('Yuri - Book'!$C:$C,$B59))</f>
        <v/>
      </c>
      <c r="H59" s="11">
        <f>IF($B59="","",INDEX('Yuri - Book'!$D:$D,$B59))</f>
        <v/>
      </c>
      <c r="I59" s="11">
        <f>IF($B59="","",INDEX('Yuri - Book'!$E:$E,$B59))</f>
        <v/>
      </c>
      <c r="J59" s="11">
        <f>IF($B59="","",INDEX('Yuri - Book'!$F:$F,$B59))</f>
        <v/>
      </c>
      <c r="K59" s="11">
        <f>IF($B59="","",INDEX('Yuri - Book'!$K:$K,$B59))</f>
        <v/>
      </c>
      <c r="L59" s="13">
        <f>IF($B59="","",ROUND(INDEX('Yuri - Book'!$Q:$Q,$B59),0))</f>
        <v/>
      </c>
      <c r="M59" s="11">
        <f>IF($B59="","",INDEX('Yuri - Book'!$P:$P,$B59))</f>
        <v/>
      </c>
    </row>
    <row r="60">
      <c r="A60" s="11" t="b">
        <v>0</v>
      </c>
      <c r="B60" s="11">
        <f>IFERROR(MATCH(56,'Yuri - Book'!$S$4:$S$203,0)+4-1,"")</f>
        <v/>
      </c>
      <c r="C60" s="11">
        <f>IF($B60="","",INDEX('Yuri - Book'!$A:$A,$B60))</f>
        <v/>
      </c>
      <c r="D60" s="11">
        <f>IF($B60="","",INDEX('Yuri - Book'!$B:$B,$B60))</f>
        <v/>
      </c>
      <c r="E60" s="12">
        <f>IF($B60="","",INDEX('Yuri - Book'!$J:$J,$B60))</f>
        <v/>
      </c>
      <c r="F60" s="11">
        <f>IF($B60="","","Yuri")</f>
        <v/>
      </c>
      <c r="G60" s="11">
        <f>IF($B60="","",INDEX('Yuri - Book'!$C:$C,$B60))</f>
        <v/>
      </c>
      <c r="H60" s="11">
        <f>IF($B60="","",INDEX('Yuri - Book'!$D:$D,$B60))</f>
        <v/>
      </c>
      <c r="I60" s="11">
        <f>IF($B60="","",INDEX('Yuri - Book'!$E:$E,$B60))</f>
        <v/>
      </c>
      <c r="J60" s="11">
        <f>IF($B60="","",INDEX('Yuri - Book'!$F:$F,$B60))</f>
        <v/>
      </c>
      <c r="K60" s="11">
        <f>IF($B60="","",INDEX('Yuri - Book'!$K:$K,$B60))</f>
        <v/>
      </c>
      <c r="L60" s="13">
        <f>IF($B60="","",ROUND(INDEX('Yuri - Book'!$Q:$Q,$B60),0))</f>
        <v/>
      </c>
      <c r="M60" s="11">
        <f>IF($B60="","",INDEX('Yuri - Book'!$P:$P,$B60))</f>
        <v/>
      </c>
    </row>
    <row r="61">
      <c r="A61" s="11" t="b">
        <v>0</v>
      </c>
      <c r="B61" s="11">
        <f>IFERROR(MATCH(57,'Yuri - Book'!$S$4:$S$203,0)+4-1,"")</f>
        <v/>
      </c>
      <c r="C61" s="11">
        <f>IF($B61="","",INDEX('Yuri - Book'!$A:$A,$B61))</f>
        <v/>
      </c>
      <c r="D61" s="11">
        <f>IF($B61="","",INDEX('Yuri - Book'!$B:$B,$B61))</f>
        <v/>
      </c>
      <c r="E61" s="12">
        <f>IF($B61="","",INDEX('Yuri - Book'!$J:$J,$B61))</f>
        <v/>
      </c>
      <c r="F61" s="11">
        <f>IF($B61="","","Yuri")</f>
        <v/>
      </c>
      <c r="G61" s="11">
        <f>IF($B61="","",INDEX('Yuri - Book'!$C:$C,$B61))</f>
        <v/>
      </c>
      <c r="H61" s="11">
        <f>IF($B61="","",INDEX('Yuri - Book'!$D:$D,$B61))</f>
        <v/>
      </c>
      <c r="I61" s="11">
        <f>IF($B61="","",INDEX('Yuri - Book'!$E:$E,$B61))</f>
        <v/>
      </c>
      <c r="J61" s="11">
        <f>IF($B61="","",INDEX('Yuri - Book'!$F:$F,$B61))</f>
        <v/>
      </c>
      <c r="K61" s="11">
        <f>IF($B61="","",INDEX('Yuri - Book'!$K:$K,$B61))</f>
        <v/>
      </c>
      <c r="L61" s="13">
        <f>IF($B61="","",ROUND(INDEX('Yuri - Book'!$Q:$Q,$B61),0))</f>
        <v/>
      </c>
      <c r="M61" s="11">
        <f>IF($B61="","",INDEX('Yuri - Book'!$P:$P,$B61))</f>
        <v/>
      </c>
    </row>
    <row r="62">
      <c r="A62" s="11" t="b">
        <v>0</v>
      </c>
      <c r="B62" s="11">
        <f>IFERROR(MATCH(58,'Yuri - Book'!$S$4:$S$203,0)+4-1,"")</f>
        <v/>
      </c>
      <c r="C62" s="11">
        <f>IF($B62="","",INDEX('Yuri - Book'!$A:$A,$B62))</f>
        <v/>
      </c>
      <c r="D62" s="11">
        <f>IF($B62="","",INDEX('Yuri - Book'!$B:$B,$B62))</f>
        <v/>
      </c>
      <c r="E62" s="12">
        <f>IF($B62="","",INDEX('Yuri - Book'!$J:$J,$B62))</f>
        <v/>
      </c>
      <c r="F62" s="11">
        <f>IF($B62="","","Yuri")</f>
        <v/>
      </c>
      <c r="G62" s="11">
        <f>IF($B62="","",INDEX('Yuri - Book'!$C:$C,$B62))</f>
        <v/>
      </c>
      <c r="H62" s="11">
        <f>IF($B62="","",INDEX('Yuri - Book'!$D:$D,$B62))</f>
        <v/>
      </c>
      <c r="I62" s="11">
        <f>IF($B62="","",INDEX('Yuri - Book'!$E:$E,$B62))</f>
        <v/>
      </c>
      <c r="J62" s="11">
        <f>IF($B62="","",INDEX('Yuri - Book'!$F:$F,$B62))</f>
        <v/>
      </c>
      <c r="K62" s="11">
        <f>IF($B62="","",INDEX('Yuri - Book'!$K:$K,$B62))</f>
        <v/>
      </c>
      <c r="L62" s="13">
        <f>IF($B62="","",ROUND(INDEX('Yuri - Book'!$Q:$Q,$B62),0))</f>
        <v/>
      </c>
      <c r="M62" s="11">
        <f>IF($B62="","",INDEX('Yuri - Book'!$P:$P,$B62))</f>
        <v/>
      </c>
    </row>
    <row r="63">
      <c r="A63" s="11" t="b">
        <v>0</v>
      </c>
      <c r="B63" s="11">
        <f>IFERROR(MATCH(59,'Yuri - Book'!$S$4:$S$203,0)+4-1,"")</f>
        <v/>
      </c>
      <c r="C63" s="11">
        <f>IF($B63="","",INDEX('Yuri - Book'!$A:$A,$B63))</f>
        <v/>
      </c>
      <c r="D63" s="11">
        <f>IF($B63="","",INDEX('Yuri - Book'!$B:$B,$B63))</f>
        <v/>
      </c>
      <c r="E63" s="12">
        <f>IF($B63="","",INDEX('Yuri - Book'!$J:$J,$B63))</f>
        <v/>
      </c>
      <c r="F63" s="11">
        <f>IF($B63="","","Yuri")</f>
        <v/>
      </c>
      <c r="G63" s="11">
        <f>IF($B63="","",INDEX('Yuri - Book'!$C:$C,$B63))</f>
        <v/>
      </c>
      <c r="H63" s="11">
        <f>IF($B63="","",INDEX('Yuri - Book'!$D:$D,$B63))</f>
        <v/>
      </c>
      <c r="I63" s="11">
        <f>IF($B63="","",INDEX('Yuri - Book'!$E:$E,$B63))</f>
        <v/>
      </c>
      <c r="J63" s="11">
        <f>IF($B63="","",INDEX('Yuri - Book'!$F:$F,$B63))</f>
        <v/>
      </c>
      <c r="K63" s="11">
        <f>IF($B63="","",INDEX('Yuri - Book'!$K:$K,$B63))</f>
        <v/>
      </c>
      <c r="L63" s="13">
        <f>IF($B63="","",ROUND(INDEX('Yuri - Book'!$Q:$Q,$B63),0))</f>
        <v/>
      </c>
      <c r="M63" s="11">
        <f>IF($B63="","",INDEX('Yuri - Book'!$P:$P,$B63))</f>
        <v/>
      </c>
    </row>
    <row r="64">
      <c r="A64" s="11" t="b">
        <v>0</v>
      </c>
      <c r="B64" s="11">
        <f>IFERROR(MATCH(60,'Yuri - Book'!$S$4:$S$203,0)+4-1,"")</f>
        <v/>
      </c>
      <c r="C64" s="11">
        <f>IF($B64="","",INDEX('Yuri - Book'!$A:$A,$B64))</f>
        <v/>
      </c>
      <c r="D64" s="11">
        <f>IF($B64="","",INDEX('Yuri - Book'!$B:$B,$B64))</f>
        <v/>
      </c>
      <c r="E64" s="12">
        <f>IF($B64="","",INDEX('Yuri - Book'!$J:$J,$B64))</f>
        <v/>
      </c>
      <c r="F64" s="11">
        <f>IF($B64="","","Yuri")</f>
        <v/>
      </c>
      <c r="G64" s="11">
        <f>IF($B64="","",INDEX('Yuri - Book'!$C:$C,$B64))</f>
        <v/>
      </c>
      <c r="H64" s="11">
        <f>IF($B64="","",INDEX('Yuri - Book'!$D:$D,$B64))</f>
        <v/>
      </c>
      <c r="I64" s="11">
        <f>IF($B64="","",INDEX('Yuri - Book'!$E:$E,$B64))</f>
        <v/>
      </c>
      <c r="J64" s="11">
        <f>IF($B64="","",INDEX('Yuri - Book'!$F:$F,$B64))</f>
        <v/>
      </c>
      <c r="K64" s="11">
        <f>IF($B64="","",INDEX('Yuri - Book'!$K:$K,$B64))</f>
        <v/>
      </c>
      <c r="L64" s="13">
        <f>IF($B64="","",ROUND(INDEX('Yuri - Book'!$Q:$Q,$B64),0))</f>
        <v/>
      </c>
      <c r="M64" s="11">
        <f>IF($B64="","",INDEX('Yuri - Book'!$P:$P,$B64))</f>
        <v/>
      </c>
    </row>
    <row r="66">
      <c r="A66" s="6" t="inlineStr">
        <is>
          <t>Dead Lead Reactivation - every dead lead, ranked by Next Retarget Date. Red = due now, act on it. Check Done once you've reached back out.</t>
        </is>
      </c>
    </row>
    <row r="67" ht="32" customHeight="1">
      <c r="A67" s="7" t="inlineStr">
        <is>
          <t>Task Complete</t>
        </is>
      </c>
      <c r="B67" s="7" t="inlineStr">
        <is>
          <t>Match Row</t>
        </is>
      </c>
      <c r="C67" s="7" t="inlineStr">
        <is>
          <t>Player ID</t>
        </is>
      </c>
      <c r="D67" s="7" t="inlineStr">
        <is>
          <t>Player Name</t>
        </is>
      </c>
      <c r="E67" s="7" t="inlineStr">
        <is>
          <t>Next Retarget
Date</t>
        </is>
      </c>
      <c r="F67" s="7" t="inlineStr">
        <is>
          <t>Owner</t>
        </is>
      </c>
      <c r="G67" s="7" t="inlineStr">
        <is>
          <t>Source</t>
        </is>
      </c>
      <c r="H67" s="7" t="inlineStr">
        <is>
          <t>Roobet Username</t>
        </is>
      </c>
      <c r="I67" s="7" t="inlineStr">
        <is>
          <t>Status
(pick to update)</t>
        </is>
      </c>
      <c r="J67" s="7" t="inlineStr">
        <is>
          <t>Health</t>
        </is>
      </c>
      <c r="K67" s="7" t="inlineStr">
        <is>
          <t>Required Action</t>
        </is>
      </c>
      <c r="L67" s="7" t="inlineStr">
        <is>
          <t>Days Since
Last Contact</t>
        </is>
      </c>
      <c r="M67" s="7" t="inlineStr">
        <is>
          <t>Notes</t>
        </is>
      </c>
    </row>
    <row r="68">
      <c r="A68" s="11" t="b">
        <v>0</v>
      </c>
      <c r="B68" s="11">
        <f>IFERROR(MATCH(1,'Yuri - Book'!$V$4:$V$203,0)+4-1,"")</f>
        <v/>
      </c>
      <c r="C68" s="11">
        <f>IF($B68="","",INDEX('Yuri - Book'!$A:$A,$B68))</f>
        <v/>
      </c>
      <c r="D68" s="11">
        <f>IF($B68="","",INDEX('Yuri - Book'!$B:$B,$B68))</f>
        <v/>
      </c>
      <c r="E68" s="12">
        <f>IF($B68="","",INDEX('Yuri - Book'!$J:$J,$B68))</f>
        <v/>
      </c>
      <c r="F68" s="11">
        <f>IF($B68="","","Yuri")</f>
        <v/>
      </c>
      <c r="G68" s="11">
        <f>IF($B68="","",INDEX('Yuri - Book'!$C:$C,$B68))</f>
        <v/>
      </c>
      <c r="H68" s="11">
        <f>IF($B68="","",INDEX('Yuri - Book'!$D:$D,$B68))</f>
        <v/>
      </c>
      <c r="I68" s="11">
        <f>IF($B68="","",INDEX('Yuri - Book'!$E:$E,$B68))</f>
        <v/>
      </c>
      <c r="J68" s="11">
        <f>IF($B68="","",INDEX('Yuri - Book'!$F:$F,$B68))</f>
        <v/>
      </c>
      <c r="K68" s="11">
        <f>IF($B68="","",INDEX('Yuri - Book'!$K:$K,$B68))</f>
        <v/>
      </c>
      <c r="L68" s="13">
        <f>IF($B68="","",ROUND(INDEX('Yuri - Book'!$Q:$Q,$B68),0))</f>
        <v/>
      </c>
      <c r="M68" s="11">
        <f>IF($B68="","",INDEX('Yuri - Book'!$P:$P,$B68))</f>
        <v/>
      </c>
    </row>
    <row r="69">
      <c r="A69" s="11" t="b">
        <v>0</v>
      </c>
      <c r="B69" s="11">
        <f>IFERROR(MATCH(2,'Yuri - Book'!$V$4:$V$203,0)+4-1,"")</f>
        <v/>
      </c>
      <c r="C69" s="11">
        <f>IF($B69="","",INDEX('Yuri - Book'!$A:$A,$B69))</f>
        <v/>
      </c>
      <c r="D69" s="11">
        <f>IF($B69="","",INDEX('Yuri - Book'!$B:$B,$B69))</f>
        <v/>
      </c>
      <c r="E69" s="12">
        <f>IF($B69="","",INDEX('Yuri - Book'!$J:$J,$B69))</f>
        <v/>
      </c>
      <c r="F69" s="11">
        <f>IF($B69="","","Yuri")</f>
        <v/>
      </c>
      <c r="G69" s="11">
        <f>IF($B69="","",INDEX('Yuri - Book'!$C:$C,$B69))</f>
        <v/>
      </c>
      <c r="H69" s="11">
        <f>IF($B69="","",INDEX('Yuri - Book'!$D:$D,$B69))</f>
        <v/>
      </c>
      <c r="I69" s="11">
        <f>IF($B69="","",INDEX('Yuri - Book'!$E:$E,$B69))</f>
        <v/>
      </c>
      <c r="J69" s="11">
        <f>IF($B69="","",INDEX('Yuri - Book'!$F:$F,$B69))</f>
        <v/>
      </c>
      <c r="K69" s="11">
        <f>IF($B69="","",INDEX('Yuri - Book'!$K:$K,$B69))</f>
        <v/>
      </c>
      <c r="L69" s="13">
        <f>IF($B69="","",ROUND(INDEX('Yuri - Book'!$Q:$Q,$B69),0))</f>
        <v/>
      </c>
      <c r="M69" s="11">
        <f>IF($B69="","",INDEX('Yuri - Book'!$P:$P,$B69))</f>
        <v/>
      </c>
    </row>
    <row r="70">
      <c r="A70" s="11" t="b">
        <v>0</v>
      </c>
      <c r="B70" s="11">
        <f>IFERROR(MATCH(3,'Yuri - Book'!$V$4:$V$203,0)+4-1,"")</f>
        <v/>
      </c>
      <c r="C70" s="11">
        <f>IF($B70="","",INDEX('Yuri - Book'!$A:$A,$B70))</f>
        <v/>
      </c>
      <c r="D70" s="11">
        <f>IF($B70="","",INDEX('Yuri - Book'!$B:$B,$B70))</f>
        <v/>
      </c>
      <c r="E70" s="12">
        <f>IF($B70="","",INDEX('Yuri - Book'!$J:$J,$B70))</f>
        <v/>
      </c>
      <c r="F70" s="11">
        <f>IF($B70="","","Yuri")</f>
        <v/>
      </c>
      <c r="G70" s="11">
        <f>IF($B70="","",INDEX('Yuri - Book'!$C:$C,$B70))</f>
        <v/>
      </c>
      <c r="H70" s="11">
        <f>IF($B70="","",INDEX('Yuri - Book'!$D:$D,$B70))</f>
        <v/>
      </c>
      <c r="I70" s="11">
        <f>IF($B70="","",INDEX('Yuri - Book'!$E:$E,$B70))</f>
        <v/>
      </c>
      <c r="J70" s="11">
        <f>IF($B70="","",INDEX('Yuri - Book'!$F:$F,$B70))</f>
        <v/>
      </c>
      <c r="K70" s="11">
        <f>IF($B70="","",INDEX('Yuri - Book'!$K:$K,$B70))</f>
        <v/>
      </c>
      <c r="L70" s="13">
        <f>IF($B70="","",ROUND(INDEX('Yuri - Book'!$Q:$Q,$B70),0))</f>
        <v/>
      </c>
      <c r="M70" s="11">
        <f>IF($B70="","",INDEX('Yuri - Book'!$P:$P,$B70))</f>
        <v/>
      </c>
    </row>
    <row r="71">
      <c r="A71" s="11" t="b">
        <v>0</v>
      </c>
      <c r="B71" s="11">
        <f>IFERROR(MATCH(4,'Yuri - Book'!$V$4:$V$203,0)+4-1,"")</f>
        <v/>
      </c>
      <c r="C71" s="11">
        <f>IF($B71="","",INDEX('Yuri - Book'!$A:$A,$B71))</f>
        <v/>
      </c>
      <c r="D71" s="11">
        <f>IF($B71="","",INDEX('Yuri - Book'!$B:$B,$B71))</f>
        <v/>
      </c>
      <c r="E71" s="12">
        <f>IF($B71="","",INDEX('Yuri - Book'!$J:$J,$B71))</f>
        <v/>
      </c>
      <c r="F71" s="11">
        <f>IF($B71="","","Yuri")</f>
        <v/>
      </c>
      <c r="G71" s="11">
        <f>IF($B71="","",INDEX('Yuri - Book'!$C:$C,$B71))</f>
        <v/>
      </c>
      <c r="H71" s="11">
        <f>IF($B71="","",INDEX('Yuri - Book'!$D:$D,$B71))</f>
        <v/>
      </c>
      <c r="I71" s="11">
        <f>IF($B71="","",INDEX('Yuri - Book'!$E:$E,$B71))</f>
        <v/>
      </c>
      <c r="J71" s="11">
        <f>IF($B71="","",INDEX('Yuri - Book'!$F:$F,$B71))</f>
        <v/>
      </c>
      <c r="K71" s="11">
        <f>IF($B71="","",INDEX('Yuri - Book'!$K:$K,$B71))</f>
        <v/>
      </c>
      <c r="L71" s="13">
        <f>IF($B71="","",ROUND(INDEX('Yuri - Book'!$Q:$Q,$B71),0))</f>
        <v/>
      </c>
      <c r="M71" s="11">
        <f>IF($B71="","",INDEX('Yuri - Book'!$P:$P,$B71))</f>
        <v/>
      </c>
    </row>
    <row r="72">
      <c r="A72" s="11" t="b">
        <v>0</v>
      </c>
      <c r="B72" s="11">
        <f>IFERROR(MATCH(5,'Yuri - Book'!$V$4:$V$203,0)+4-1,"")</f>
        <v/>
      </c>
      <c r="C72" s="11">
        <f>IF($B72="","",INDEX('Yuri - Book'!$A:$A,$B72))</f>
        <v/>
      </c>
      <c r="D72" s="11">
        <f>IF($B72="","",INDEX('Yuri - Book'!$B:$B,$B72))</f>
        <v/>
      </c>
      <c r="E72" s="12">
        <f>IF($B72="","",INDEX('Yuri - Book'!$J:$J,$B72))</f>
        <v/>
      </c>
      <c r="F72" s="11">
        <f>IF($B72="","","Yuri")</f>
        <v/>
      </c>
      <c r="G72" s="11">
        <f>IF($B72="","",INDEX('Yuri - Book'!$C:$C,$B72))</f>
        <v/>
      </c>
      <c r="H72" s="11">
        <f>IF($B72="","",INDEX('Yuri - Book'!$D:$D,$B72))</f>
        <v/>
      </c>
      <c r="I72" s="11">
        <f>IF($B72="","",INDEX('Yuri - Book'!$E:$E,$B72))</f>
        <v/>
      </c>
      <c r="J72" s="11">
        <f>IF($B72="","",INDEX('Yuri - Book'!$F:$F,$B72))</f>
        <v/>
      </c>
      <c r="K72" s="11">
        <f>IF($B72="","",INDEX('Yuri - Book'!$K:$K,$B72))</f>
        <v/>
      </c>
      <c r="L72" s="13">
        <f>IF($B72="","",ROUND(INDEX('Yuri - Book'!$Q:$Q,$B72),0))</f>
        <v/>
      </c>
      <c r="M72" s="11">
        <f>IF($B72="","",INDEX('Yuri - Book'!$P:$P,$B72))</f>
        <v/>
      </c>
    </row>
    <row r="73">
      <c r="A73" s="11" t="b">
        <v>0</v>
      </c>
      <c r="B73" s="11">
        <f>IFERROR(MATCH(6,'Yuri - Book'!$V$4:$V$203,0)+4-1,"")</f>
        <v/>
      </c>
      <c r="C73" s="11">
        <f>IF($B73="","",INDEX('Yuri - Book'!$A:$A,$B73))</f>
        <v/>
      </c>
      <c r="D73" s="11">
        <f>IF($B73="","",INDEX('Yuri - Book'!$B:$B,$B73))</f>
        <v/>
      </c>
      <c r="E73" s="12">
        <f>IF($B73="","",INDEX('Yuri - Book'!$J:$J,$B73))</f>
        <v/>
      </c>
      <c r="F73" s="11">
        <f>IF($B73="","","Yuri")</f>
        <v/>
      </c>
      <c r="G73" s="11">
        <f>IF($B73="","",INDEX('Yuri - Book'!$C:$C,$B73))</f>
        <v/>
      </c>
      <c r="H73" s="11">
        <f>IF($B73="","",INDEX('Yuri - Book'!$D:$D,$B73))</f>
        <v/>
      </c>
      <c r="I73" s="11">
        <f>IF($B73="","",INDEX('Yuri - Book'!$E:$E,$B73))</f>
        <v/>
      </c>
      <c r="J73" s="11">
        <f>IF($B73="","",INDEX('Yuri - Book'!$F:$F,$B73))</f>
        <v/>
      </c>
      <c r="K73" s="11">
        <f>IF($B73="","",INDEX('Yuri - Book'!$K:$K,$B73))</f>
        <v/>
      </c>
      <c r="L73" s="13">
        <f>IF($B73="","",ROUND(INDEX('Yuri - Book'!$Q:$Q,$B73),0))</f>
        <v/>
      </c>
      <c r="M73" s="11">
        <f>IF($B73="","",INDEX('Yuri - Book'!$P:$P,$B73))</f>
        <v/>
      </c>
    </row>
    <row r="74">
      <c r="A74" s="11" t="b">
        <v>0</v>
      </c>
      <c r="B74" s="11">
        <f>IFERROR(MATCH(7,'Yuri - Book'!$V$4:$V$203,0)+4-1,"")</f>
        <v/>
      </c>
      <c r="C74" s="11">
        <f>IF($B74="","",INDEX('Yuri - Book'!$A:$A,$B74))</f>
        <v/>
      </c>
      <c r="D74" s="11">
        <f>IF($B74="","",INDEX('Yuri - Book'!$B:$B,$B74))</f>
        <v/>
      </c>
      <c r="E74" s="12">
        <f>IF($B74="","",INDEX('Yuri - Book'!$J:$J,$B74))</f>
        <v/>
      </c>
      <c r="F74" s="11">
        <f>IF($B74="","","Yuri")</f>
        <v/>
      </c>
      <c r="G74" s="11">
        <f>IF($B74="","",INDEX('Yuri - Book'!$C:$C,$B74))</f>
        <v/>
      </c>
      <c r="H74" s="11">
        <f>IF($B74="","",INDEX('Yuri - Book'!$D:$D,$B74))</f>
        <v/>
      </c>
      <c r="I74" s="11">
        <f>IF($B74="","",INDEX('Yuri - Book'!$E:$E,$B74))</f>
        <v/>
      </c>
      <c r="J74" s="11">
        <f>IF($B74="","",INDEX('Yuri - Book'!$F:$F,$B74))</f>
        <v/>
      </c>
      <c r="K74" s="11">
        <f>IF($B74="","",INDEX('Yuri - Book'!$K:$K,$B74))</f>
        <v/>
      </c>
      <c r="L74" s="13">
        <f>IF($B74="","",ROUND(INDEX('Yuri - Book'!$Q:$Q,$B74),0))</f>
        <v/>
      </c>
      <c r="M74" s="11">
        <f>IF($B74="","",INDEX('Yuri - Book'!$P:$P,$B74))</f>
        <v/>
      </c>
    </row>
    <row r="75">
      <c r="A75" s="11" t="b">
        <v>0</v>
      </c>
      <c r="B75" s="11">
        <f>IFERROR(MATCH(8,'Yuri - Book'!$V$4:$V$203,0)+4-1,"")</f>
        <v/>
      </c>
      <c r="C75" s="11">
        <f>IF($B75="","",INDEX('Yuri - Book'!$A:$A,$B75))</f>
        <v/>
      </c>
      <c r="D75" s="11">
        <f>IF($B75="","",INDEX('Yuri - Book'!$B:$B,$B75))</f>
        <v/>
      </c>
      <c r="E75" s="12">
        <f>IF($B75="","",INDEX('Yuri - Book'!$J:$J,$B75))</f>
        <v/>
      </c>
      <c r="F75" s="11">
        <f>IF($B75="","","Yuri")</f>
        <v/>
      </c>
      <c r="G75" s="11">
        <f>IF($B75="","",INDEX('Yuri - Book'!$C:$C,$B75))</f>
        <v/>
      </c>
      <c r="H75" s="11">
        <f>IF($B75="","",INDEX('Yuri - Book'!$D:$D,$B75))</f>
        <v/>
      </c>
      <c r="I75" s="11">
        <f>IF($B75="","",INDEX('Yuri - Book'!$E:$E,$B75))</f>
        <v/>
      </c>
      <c r="J75" s="11">
        <f>IF($B75="","",INDEX('Yuri - Book'!$F:$F,$B75))</f>
        <v/>
      </c>
      <c r="K75" s="11">
        <f>IF($B75="","",INDEX('Yuri - Book'!$K:$K,$B75))</f>
        <v/>
      </c>
      <c r="L75" s="13">
        <f>IF($B75="","",ROUND(INDEX('Yuri - Book'!$Q:$Q,$B75),0))</f>
        <v/>
      </c>
      <c r="M75" s="11">
        <f>IF($B75="","",INDEX('Yuri - Book'!$P:$P,$B75))</f>
        <v/>
      </c>
    </row>
    <row r="76">
      <c r="A76" s="11" t="b">
        <v>0</v>
      </c>
      <c r="B76" s="11">
        <f>IFERROR(MATCH(9,'Yuri - Book'!$V$4:$V$203,0)+4-1,"")</f>
        <v/>
      </c>
      <c r="C76" s="11">
        <f>IF($B76="","",INDEX('Yuri - Book'!$A:$A,$B76))</f>
        <v/>
      </c>
      <c r="D76" s="11">
        <f>IF($B76="","",INDEX('Yuri - Book'!$B:$B,$B76))</f>
        <v/>
      </c>
      <c r="E76" s="12">
        <f>IF($B76="","",INDEX('Yuri - Book'!$J:$J,$B76))</f>
        <v/>
      </c>
      <c r="F76" s="11">
        <f>IF($B76="","","Yuri")</f>
        <v/>
      </c>
      <c r="G76" s="11">
        <f>IF($B76="","",INDEX('Yuri - Book'!$C:$C,$B76))</f>
        <v/>
      </c>
      <c r="H76" s="11">
        <f>IF($B76="","",INDEX('Yuri - Book'!$D:$D,$B76))</f>
        <v/>
      </c>
      <c r="I76" s="11">
        <f>IF($B76="","",INDEX('Yuri - Book'!$E:$E,$B76))</f>
        <v/>
      </c>
      <c r="J76" s="11">
        <f>IF($B76="","",INDEX('Yuri - Book'!$F:$F,$B76))</f>
        <v/>
      </c>
      <c r="K76" s="11">
        <f>IF($B76="","",INDEX('Yuri - Book'!$K:$K,$B76))</f>
        <v/>
      </c>
      <c r="L76" s="13">
        <f>IF($B76="","",ROUND(INDEX('Yuri - Book'!$Q:$Q,$B76),0))</f>
        <v/>
      </c>
      <c r="M76" s="11">
        <f>IF($B76="","",INDEX('Yuri - Book'!$P:$P,$B76))</f>
        <v/>
      </c>
    </row>
    <row r="77">
      <c r="A77" s="11" t="b">
        <v>0</v>
      </c>
      <c r="B77" s="11">
        <f>IFERROR(MATCH(10,'Yuri - Book'!$V$4:$V$203,0)+4-1,"")</f>
        <v/>
      </c>
      <c r="C77" s="11">
        <f>IF($B77="","",INDEX('Yuri - Book'!$A:$A,$B77))</f>
        <v/>
      </c>
      <c r="D77" s="11">
        <f>IF($B77="","",INDEX('Yuri - Book'!$B:$B,$B77))</f>
        <v/>
      </c>
      <c r="E77" s="12">
        <f>IF($B77="","",INDEX('Yuri - Book'!$J:$J,$B77))</f>
        <v/>
      </c>
      <c r="F77" s="11">
        <f>IF($B77="","","Yuri")</f>
        <v/>
      </c>
      <c r="G77" s="11">
        <f>IF($B77="","",INDEX('Yuri - Book'!$C:$C,$B77))</f>
        <v/>
      </c>
      <c r="H77" s="11">
        <f>IF($B77="","",INDEX('Yuri - Book'!$D:$D,$B77))</f>
        <v/>
      </c>
      <c r="I77" s="11">
        <f>IF($B77="","",INDEX('Yuri - Book'!$E:$E,$B77))</f>
        <v/>
      </c>
      <c r="J77" s="11">
        <f>IF($B77="","",INDEX('Yuri - Book'!$F:$F,$B77))</f>
        <v/>
      </c>
      <c r="K77" s="11">
        <f>IF($B77="","",INDEX('Yuri - Book'!$K:$K,$B77))</f>
        <v/>
      </c>
      <c r="L77" s="13">
        <f>IF($B77="","",ROUND(INDEX('Yuri - Book'!$Q:$Q,$B77),0))</f>
        <v/>
      </c>
      <c r="M77" s="11">
        <f>IF($B77="","",INDEX('Yuri - Book'!$P:$P,$B77))</f>
        <v/>
      </c>
    </row>
    <row r="78">
      <c r="A78" s="11" t="b">
        <v>0</v>
      </c>
      <c r="B78" s="11">
        <f>IFERROR(MATCH(11,'Yuri - Book'!$V$4:$V$203,0)+4-1,"")</f>
        <v/>
      </c>
      <c r="C78" s="11">
        <f>IF($B78="","",INDEX('Yuri - Book'!$A:$A,$B78))</f>
        <v/>
      </c>
      <c r="D78" s="11">
        <f>IF($B78="","",INDEX('Yuri - Book'!$B:$B,$B78))</f>
        <v/>
      </c>
      <c r="E78" s="12">
        <f>IF($B78="","",INDEX('Yuri - Book'!$J:$J,$B78))</f>
        <v/>
      </c>
      <c r="F78" s="11">
        <f>IF($B78="","","Yuri")</f>
        <v/>
      </c>
      <c r="G78" s="11">
        <f>IF($B78="","",INDEX('Yuri - Book'!$C:$C,$B78))</f>
        <v/>
      </c>
      <c r="H78" s="11">
        <f>IF($B78="","",INDEX('Yuri - Book'!$D:$D,$B78))</f>
        <v/>
      </c>
      <c r="I78" s="11">
        <f>IF($B78="","",INDEX('Yuri - Book'!$E:$E,$B78))</f>
        <v/>
      </c>
      <c r="J78" s="11">
        <f>IF($B78="","",INDEX('Yuri - Book'!$F:$F,$B78))</f>
        <v/>
      </c>
      <c r="K78" s="11">
        <f>IF($B78="","",INDEX('Yuri - Book'!$K:$K,$B78))</f>
        <v/>
      </c>
      <c r="L78" s="13">
        <f>IF($B78="","",ROUND(INDEX('Yuri - Book'!$Q:$Q,$B78),0))</f>
        <v/>
      </c>
      <c r="M78" s="11">
        <f>IF($B78="","",INDEX('Yuri - Book'!$P:$P,$B78))</f>
        <v/>
      </c>
    </row>
    <row r="79">
      <c r="A79" s="11" t="b">
        <v>0</v>
      </c>
      <c r="B79" s="11">
        <f>IFERROR(MATCH(12,'Yuri - Book'!$V$4:$V$203,0)+4-1,"")</f>
        <v/>
      </c>
      <c r="C79" s="11">
        <f>IF($B79="","",INDEX('Yuri - Book'!$A:$A,$B79))</f>
        <v/>
      </c>
      <c r="D79" s="11">
        <f>IF($B79="","",INDEX('Yuri - Book'!$B:$B,$B79))</f>
        <v/>
      </c>
      <c r="E79" s="12">
        <f>IF($B79="","",INDEX('Yuri - Book'!$J:$J,$B79))</f>
        <v/>
      </c>
      <c r="F79" s="11">
        <f>IF($B79="","","Yuri")</f>
        <v/>
      </c>
      <c r="G79" s="11">
        <f>IF($B79="","",INDEX('Yuri - Book'!$C:$C,$B79))</f>
        <v/>
      </c>
      <c r="H79" s="11">
        <f>IF($B79="","",INDEX('Yuri - Book'!$D:$D,$B79))</f>
        <v/>
      </c>
      <c r="I79" s="11">
        <f>IF($B79="","",INDEX('Yuri - Book'!$E:$E,$B79))</f>
        <v/>
      </c>
      <c r="J79" s="11">
        <f>IF($B79="","",INDEX('Yuri - Book'!$F:$F,$B79))</f>
        <v/>
      </c>
      <c r="K79" s="11">
        <f>IF($B79="","",INDEX('Yuri - Book'!$K:$K,$B79))</f>
        <v/>
      </c>
      <c r="L79" s="13">
        <f>IF($B79="","",ROUND(INDEX('Yuri - Book'!$Q:$Q,$B79),0))</f>
        <v/>
      </c>
      <c r="M79" s="11">
        <f>IF($B79="","",INDEX('Yuri - Book'!$P:$P,$B79))</f>
        <v/>
      </c>
    </row>
    <row r="80">
      <c r="A80" s="11" t="b">
        <v>0</v>
      </c>
      <c r="B80" s="11">
        <f>IFERROR(MATCH(13,'Yuri - Book'!$V$4:$V$203,0)+4-1,"")</f>
        <v/>
      </c>
      <c r="C80" s="11">
        <f>IF($B80="","",INDEX('Yuri - Book'!$A:$A,$B80))</f>
        <v/>
      </c>
      <c r="D80" s="11">
        <f>IF($B80="","",INDEX('Yuri - Book'!$B:$B,$B80))</f>
        <v/>
      </c>
      <c r="E80" s="12">
        <f>IF($B80="","",INDEX('Yuri - Book'!$J:$J,$B80))</f>
        <v/>
      </c>
      <c r="F80" s="11">
        <f>IF($B80="","","Yuri")</f>
        <v/>
      </c>
      <c r="G80" s="11">
        <f>IF($B80="","",INDEX('Yuri - Book'!$C:$C,$B80))</f>
        <v/>
      </c>
      <c r="H80" s="11">
        <f>IF($B80="","",INDEX('Yuri - Book'!$D:$D,$B80))</f>
        <v/>
      </c>
      <c r="I80" s="11">
        <f>IF($B80="","",INDEX('Yuri - Book'!$E:$E,$B80))</f>
        <v/>
      </c>
      <c r="J80" s="11">
        <f>IF($B80="","",INDEX('Yuri - Book'!$F:$F,$B80))</f>
        <v/>
      </c>
      <c r="K80" s="11">
        <f>IF($B80="","",INDEX('Yuri - Book'!$K:$K,$B80))</f>
        <v/>
      </c>
      <c r="L80" s="13">
        <f>IF($B80="","",ROUND(INDEX('Yuri - Book'!$Q:$Q,$B80),0))</f>
        <v/>
      </c>
      <c r="M80" s="11">
        <f>IF($B80="","",INDEX('Yuri - Book'!$P:$P,$B80))</f>
        <v/>
      </c>
    </row>
    <row r="81">
      <c r="A81" s="11" t="b">
        <v>0</v>
      </c>
      <c r="B81" s="11">
        <f>IFERROR(MATCH(14,'Yuri - Book'!$V$4:$V$203,0)+4-1,"")</f>
        <v/>
      </c>
      <c r="C81" s="11">
        <f>IF($B81="","",INDEX('Yuri - Book'!$A:$A,$B81))</f>
        <v/>
      </c>
      <c r="D81" s="11">
        <f>IF($B81="","",INDEX('Yuri - Book'!$B:$B,$B81))</f>
        <v/>
      </c>
      <c r="E81" s="12">
        <f>IF($B81="","",INDEX('Yuri - Book'!$J:$J,$B81))</f>
        <v/>
      </c>
      <c r="F81" s="11">
        <f>IF($B81="","","Yuri")</f>
        <v/>
      </c>
      <c r="G81" s="11">
        <f>IF($B81="","",INDEX('Yuri - Book'!$C:$C,$B81))</f>
        <v/>
      </c>
      <c r="H81" s="11">
        <f>IF($B81="","",INDEX('Yuri - Book'!$D:$D,$B81))</f>
        <v/>
      </c>
      <c r="I81" s="11">
        <f>IF($B81="","",INDEX('Yuri - Book'!$E:$E,$B81))</f>
        <v/>
      </c>
      <c r="J81" s="11">
        <f>IF($B81="","",INDEX('Yuri - Book'!$F:$F,$B81))</f>
        <v/>
      </c>
      <c r="K81" s="11">
        <f>IF($B81="","",INDEX('Yuri - Book'!$K:$K,$B81))</f>
        <v/>
      </c>
      <c r="L81" s="13">
        <f>IF($B81="","",ROUND(INDEX('Yuri - Book'!$Q:$Q,$B81),0))</f>
        <v/>
      </c>
      <c r="M81" s="11">
        <f>IF($B81="","",INDEX('Yuri - Book'!$P:$P,$B81))</f>
        <v/>
      </c>
    </row>
    <row r="82">
      <c r="A82" s="11" t="b">
        <v>0</v>
      </c>
      <c r="B82" s="11">
        <f>IFERROR(MATCH(15,'Yuri - Book'!$V$4:$V$203,0)+4-1,"")</f>
        <v/>
      </c>
      <c r="C82" s="11">
        <f>IF($B82="","",INDEX('Yuri - Book'!$A:$A,$B82))</f>
        <v/>
      </c>
      <c r="D82" s="11">
        <f>IF($B82="","",INDEX('Yuri - Book'!$B:$B,$B82))</f>
        <v/>
      </c>
      <c r="E82" s="12">
        <f>IF($B82="","",INDEX('Yuri - Book'!$J:$J,$B82))</f>
        <v/>
      </c>
      <c r="F82" s="11">
        <f>IF($B82="","","Yuri")</f>
        <v/>
      </c>
      <c r="G82" s="11">
        <f>IF($B82="","",INDEX('Yuri - Book'!$C:$C,$B82))</f>
        <v/>
      </c>
      <c r="H82" s="11">
        <f>IF($B82="","",INDEX('Yuri - Book'!$D:$D,$B82))</f>
        <v/>
      </c>
      <c r="I82" s="11">
        <f>IF($B82="","",INDEX('Yuri - Book'!$E:$E,$B82))</f>
        <v/>
      </c>
      <c r="J82" s="11">
        <f>IF($B82="","",INDEX('Yuri - Book'!$F:$F,$B82))</f>
        <v/>
      </c>
      <c r="K82" s="11">
        <f>IF($B82="","",INDEX('Yuri - Book'!$K:$K,$B82))</f>
        <v/>
      </c>
      <c r="L82" s="13">
        <f>IF($B82="","",ROUND(INDEX('Yuri - Book'!$Q:$Q,$B82),0))</f>
        <v/>
      </c>
      <c r="M82" s="11">
        <f>IF($B82="","",INDEX('Yuri - Book'!$P:$P,$B82))</f>
        <v/>
      </c>
    </row>
    <row r="83">
      <c r="A83" s="11" t="b">
        <v>0</v>
      </c>
      <c r="B83" s="11">
        <f>IFERROR(MATCH(16,'Yuri - Book'!$V$4:$V$203,0)+4-1,"")</f>
        <v/>
      </c>
      <c r="C83" s="11">
        <f>IF($B83="","",INDEX('Yuri - Book'!$A:$A,$B83))</f>
        <v/>
      </c>
      <c r="D83" s="11">
        <f>IF($B83="","",INDEX('Yuri - Book'!$B:$B,$B83))</f>
        <v/>
      </c>
      <c r="E83" s="12">
        <f>IF($B83="","",INDEX('Yuri - Book'!$J:$J,$B83))</f>
        <v/>
      </c>
      <c r="F83" s="11">
        <f>IF($B83="","","Yuri")</f>
        <v/>
      </c>
      <c r="G83" s="11">
        <f>IF($B83="","",INDEX('Yuri - Book'!$C:$C,$B83))</f>
        <v/>
      </c>
      <c r="H83" s="11">
        <f>IF($B83="","",INDEX('Yuri - Book'!$D:$D,$B83))</f>
        <v/>
      </c>
      <c r="I83" s="11">
        <f>IF($B83="","",INDEX('Yuri - Book'!$E:$E,$B83))</f>
        <v/>
      </c>
      <c r="J83" s="11">
        <f>IF($B83="","",INDEX('Yuri - Book'!$F:$F,$B83))</f>
        <v/>
      </c>
      <c r="K83" s="11">
        <f>IF($B83="","",INDEX('Yuri - Book'!$K:$K,$B83))</f>
        <v/>
      </c>
      <c r="L83" s="13">
        <f>IF($B83="","",ROUND(INDEX('Yuri - Book'!$Q:$Q,$B83),0))</f>
        <v/>
      </c>
      <c r="M83" s="11">
        <f>IF($B83="","",INDEX('Yuri - Book'!$P:$P,$B83))</f>
        <v/>
      </c>
    </row>
    <row r="84">
      <c r="A84" s="11" t="b">
        <v>0</v>
      </c>
      <c r="B84" s="11">
        <f>IFERROR(MATCH(17,'Yuri - Book'!$V$4:$V$203,0)+4-1,"")</f>
        <v/>
      </c>
      <c r="C84" s="11">
        <f>IF($B84="","",INDEX('Yuri - Book'!$A:$A,$B84))</f>
        <v/>
      </c>
      <c r="D84" s="11">
        <f>IF($B84="","",INDEX('Yuri - Book'!$B:$B,$B84))</f>
        <v/>
      </c>
      <c r="E84" s="12">
        <f>IF($B84="","",INDEX('Yuri - Book'!$J:$J,$B84))</f>
        <v/>
      </c>
      <c r="F84" s="11">
        <f>IF($B84="","","Yuri")</f>
        <v/>
      </c>
      <c r="G84" s="11">
        <f>IF($B84="","",INDEX('Yuri - Book'!$C:$C,$B84))</f>
        <v/>
      </c>
      <c r="H84" s="11">
        <f>IF($B84="","",INDEX('Yuri - Book'!$D:$D,$B84))</f>
        <v/>
      </c>
      <c r="I84" s="11">
        <f>IF($B84="","",INDEX('Yuri - Book'!$E:$E,$B84))</f>
        <v/>
      </c>
      <c r="J84" s="11">
        <f>IF($B84="","",INDEX('Yuri - Book'!$F:$F,$B84))</f>
        <v/>
      </c>
      <c r="K84" s="11">
        <f>IF($B84="","",INDEX('Yuri - Book'!$K:$K,$B84))</f>
        <v/>
      </c>
      <c r="L84" s="13">
        <f>IF($B84="","",ROUND(INDEX('Yuri - Book'!$Q:$Q,$B84),0))</f>
        <v/>
      </c>
      <c r="M84" s="11">
        <f>IF($B84="","",INDEX('Yuri - Book'!$P:$P,$B84))</f>
        <v/>
      </c>
    </row>
    <row r="85">
      <c r="A85" s="11" t="b">
        <v>0</v>
      </c>
      <c r="B85" s="11">
        <f>IFERROR(MATCH(18,'Yuri - Book'!$V$4:$V$203,0)+4-1,"")</f>
        <v/>
      </c>
      <c r="C85" s="11">
        <f>IF($B85="","",INDEX('Yuri - Book'!$A:$A,$B85))</f>
        <v/>
      </c>
      <c r="D85" s="11">
        <f>IF($B85="","",INDEX('Yuri - Book'!$B:$B,$B85))</f>
        <v/>
      </c>
      <c r="E85" s="12">
        <f>IF($B85="","",INDEX('Yuri - Book'!$J:$J,$B85))</f>
        <v/>
      </c>
      <c r="F85" s="11">
        <f>IF($B85="","","Yuri")</f>
        <v/>
      </c>
      <c r="G85" s="11">
        <f>IF($B85="","",INDEX('Yuri - Book'!$C:$C,$B85))</f>
        <v/>
      </c>
      <c r="H85" s="11">
        <f>IF($B85="","",INDEX('Yuri - Book'!$D:$D,$B85))</f>
        <v/>
      </c>
      <c r="I85" s="11">
        <f>IF($B85="","",INDEX('Yuri - Book'!$E:$E,$B85))</f>
        <v/>
      </c>
      <c r="J85" s="11">
        <f>IF($B85="","",INDEX('Yuri - Book'!$F:$F,$B85))</f>
        <v/>
      </c>
      <c r="K85" s="11">
        <f>IF($B85="","",INDEX('Yuri - Book'!$K:$K,$B85))</f>
        <v/>
      </c>
      <c r="L85" s="13">
        <f>IF($B85="","",ROUND(INDEX('Yuri - Book'!$Q:$Q,$B85),0))</f>
        <v/>
      </c>
      <c r="M85" s="11">
        <f>IF($B85="","",INDEX('Yuri - Book'!$P:$P,$B85))</f>
        <v/>
      </c>
    </row>
    <row r="86">
      <c r="A86" s="11" t="b">
        <v>0</v>
      </c>
      <c r="B86" s="11">
        <f>IFERROR(MATCH(19,'Yuri - Book'!$V$4:$V$203,0)+4-1,"")</f>
        <v/>
      </c>
      <c r="C86" s="11">
        <f>IF($B86="","",INDEX('Yuri - Book'!$A:$A,$B86))</f>
        <v/>
      </c>
      <c r="D86" s="11">
        <f>IF($B86="","",INDEX('Yuri - Book'!$B:$B,$B86))</f>
        <v/>
      </c>
      <c r="E86" s="12">
        <f>IF($B86="","",INDEX('Yuri - Book'!$J:$J,$B86))</f>
        <v/>
      </c>
      <c r="F86" s="11">
        <f>IF($B86="","","Yuri")</f>
        <v/>
      </c>
      <c r="G86" s="11">
        <f>IF($B86="","",INDEX('Yuri - Book'!$C:$C,$B86))</f>
        <v/>
      </c>
      <c r="H86" s="11">
        <f>IF($B86="","",INDEX('Yuri - Book'!$D:$D,$B86))</f>
        <v/>
      </c>
      <c r="I86" s="11">
        <f>IF($B86="","",INDEX('Yuri - Book'!$E:$E,$B86))</f>
        <v/>
      </c>
      <c r="J86" s="11">
        <f>IF($B86="","",INDEX('Yuri - Book'!$F:$F,$B86))</f>
        <v/>
      </c>
      <c r="K86" s="11">
        <f>IF($B86="","",INDEX('Yuri - Book'!$K:$K,$B86))</f>
        <v/>
      </c>
      <c r="L86" s="13">
        <f>IF($B86="","",ROUND(INDEX('Yuri - Book'!$Q:$Q,$B86),0))</f>
        <v/>
      </c>
      <c r="M86" s="11">
        <f>IF($B86="","",INDEX('Yuri - Book'!$P:$P,$B86))</f>
        <v/>
      </c>
    </row>
    <row r="87">
      <c r="A87" s="11" t="b">
        <v>0</v>
      </c>
      <c r="B87" s="11">
        <f>IFERROR(MATCH(20,'Yuri - Book'!$V$4:$V$203,0)+4-1,"")</f>
        <v/>
      </c>
      <c r="C87" s="11">
        <f>IF($B87="","",INDEX('Yuri - Book'!$A:$A,$B87))</f>
        <v/>
      </c>
      <c r="D87" s="11">
        <f>IF($B87="","",INDEX('Yuri - Book'!$B:$B,$B87))</f>
        <v/>
      </c>
      <c r="E87" s="12">
        <f>IF($B87="","",INDEX('Yuri - Book'!$J:$J,$B87))</f>
        <v/>
      </c>
      <c r="F87" s="11">
        <f>IF($B87="","","Yuri")</f>
        <v/>
      </c>
      <c r="G87" s="11">
        <f>IF($B87="","",INDEX('Yuri - Book'!$C:$C,$B87))</f>
        <v/>
      </c>
      <c r="H87" s="11">
        <f>IF($B87="","",INDEX('Yuri - Book'!$D:$D,$B87))</f>
        <v/>
      </c>
      <c r="I87" s="11">
        <f>IF($B87="","",INDEX('Yuri - Book'!$E:$E,$B87))</f>
        <v/>
      </c>
      <c r="J87" s="11">
        <f>IF($B87="","",INDEX('Yuri - Book'!$F:$F,$B87))</f>
        <v/>
      </c>
      <c r="K87" s="11">
        <f>IF($B87="","",INDEX('Yuri - Book'!$K:$K,$B87))</f>
        <v/>
      </c>
      <c r="L87" s="13">
        <f>IF($B87="","",ROUND(INDEX('Yuri - Book'!$Q:$Q,$B87),0))</f>
        <v/>
      </c>
      <c r="M87" s="11">
        <f>IF($B87="","",INDEX('Yuri - Book'!$P:$P,$B87))</f>
        <v/>
      </c>
    </row>
    <row r="88">
      <c r="A88" s="11" t="b">
        <v>0</v>
      </c>
      <c r="B88" s="11">
        <f>IFERROR(MATCH(21,'Yuri - Book'!$V$4:$V$203,0)+4-1,"")</f>
        <v/>
      </c>
      <c r="C88" s="11">
        <f>IF($B88="","",INDEX('Yuri - Book'!$A:$A,$B88))</f>
        <v/>
      </c>
      <c r="D88" s="11">
        <f>IF($B88="","",INDEX('Yuri - Book'!$B:$B,$B88))</f>
        <v/>
      </c>
      <c r="E88" s="12">
        <f>IF($B88="","",INDEX('Yuri - Book'!$J:$J,$B88))</f>
        <v/>
      </c>
      <c r="F88" s="11">
        <f>IF($B88="","","Yuri")</f>
        <v/>
      </c>
      <c r="G88" s="11">
        <f>IF($B88="","",INDEX('Yuri - Book'!$C:$C,$B88))</f>
        <v/>
      </c>
      <c r="H88" s="11">
        <f>IF($B88="","",INDEX('Yuri - Book'!$D:$D,$B88))</f>
        <v/>
      </c>
      <c r="I88" s="11">
        <f>IF($B88="","",INDEX('Yuri - Book'!$E:$E,$B88))</f>
        <v/>
      </c>
      <c r="J88" s="11">
        <f>IF($B88="","",INDEX('Yuri - Book'!$F:$F,$B88))</f>
        <v/>
      </c>
      <c r="K88" s="11">
        <f>IF($B88="","",INDEX('Yuri - Book'!$K:$K,$B88))</f>
        <v/>
      </c>
      <c r="L88" s="13">
        <f>IF($B88="","",ROUND(INDEX('Yuri - Book'!$Q:$Q,$B88),0))</f>
        <v/>
      </c>
      <c r="M88" s="11">
        <f>IF($B88="","",INDEX('Yuri - Book'!$P:$P,$B88))</f>
        <v/>
      </c>
    </row>
    <row r="89">
      <c r="A89" s="11" t="b">
        <v>0</v>
      </c>
      <c r="B89" s="11">
        <f>IFERROR(MATCH(22,'Yuri - Book'!$V$4:$V$203,0)+4-1,"")</f>
        <v/>
      </c>
      <c r="C89" s="11">
        <f>IF($B89="","",INDEX('Yuri - Book'!$A:$A,$B89))</f>
        <v/>
      </c>
      <c r="D89" s="11">
        <f>IF($B89="","",INDEX('Yuri - Book'!$B:$B,$B89))</f>
        <v/>
      </c>
      <c r="E89" s="12">
        <f>IF($B89="","",INDEX('Yuri - Book'!$J:$J,$B89))</f>
        <v/>
      </c>
      <c r="F89" s="11">
        <f>IF($B89="","","Yuri")</f>
        <v/>
      </c>
      <c r="G89" s="11">
        <f>IF($B89="","",INDEX('Yuri - Book'!$C:$C,$B89))</f>
        <v/>
      </c>
      <c r="H89" s="11">
        <f>IF($B89="","",INDEX('Yuri - Book'!$D:$D,$B89))</f>
        <v/>
      </c>
      <c r="I89" s="11">
        <f>IF($B89="","",INDEX('Yuri - Book'!$E:$E,$B89))</f>
        <v/>
      </c>
      <c r="J89" s="11">
        <f>IF($B89="","",INDEX('Yuri - Book'!$F:$F,$B89))</f>
        <v/>
      </c>
      <c r="K89" s="11">
        <f>IF($B89="","",INDEX('Yuri - Book'!$K:$K,$B89))</f>
        <v/>
      </c>
      <c r="L89" s="13">
        <f>IF($B89="","",ROUND(INDEX('Yuri - Book'!$Q:$Q,$B89),0))</f>
        <v/>
      </c>
      <c r="M89" s="11">
        <f>IF($B89="","",INDEX('Yuri - Book'!$P:$P,$B89))</f>
        <v/>
      </c>
    </row>
    <row r="90">
      <c r="A90" s="11" t="b">
        <v>0</v>
      </c>
      <c r="B90" s="11">
        <f>IFERROR(MATCH(23,'Yuri - Book'!$V$4:$V$203,0)+4-1,"")</f>
        <v/>
      </c>
      <c r="C90" s="11">
        <f>IF($B90="","",INDEX('Yuri - Book'!$A:$A,$B90))</f>
        <v/>
      </c>
      <c r="D90" s="11">
        <f>IF($B90="","",INDEX('Yuri - Book'!$B:$B,$B90))</f>
        <v/>
      </c>
      <c r="E90" s="12">
        <f>IF($B90="","",INDEX('Yuri - Book'!$J:$J,$B90))</f>
        <v/>
      </c>
      <c r="F90" s="11">
        <f>IF($B90="","","Yuri")</f>
        <v/>
      </c>
      <c r="G90" s="11">
        <f>IF($B90="","",INDEX('Yuri - Book'!$C:$C,$B90))</f>
        <v/>
      </c>
      <c r="H90" s="11">
        <f>IF($B90="","",INDEX('Yuri - Book'!$D:$D,$B90))</f>
        <v/>
      </c>
      <c r="I90" s="11">
        <f>IF($B90="","",INDEX('Yuri - Book'!$E:$E,$B90))</f>
        <v/>
      </c>
      <c r="J90" s="11">
        <f>IF($B90="","",INDEX('Yuri - Book'!$F:$F,$B90))</f>
        <v/>
      </c>
      <c r="K90" s="11">
        <f>IF($B90="","",INDEX('Yuri - Book'!$K:$K,$B90))</f>
        <v/>
      </c>
      <c r="L90" s="13">
        <f>IF($B90="","",ROUND(INDEX('Yuri - Book'!$Q:$Q,$B90),0))</f>
        <v/>
      </c>
      <c r="M90" s="11">
        <f>IF($B90="","",INDEX('Yuri - Book'!$P:$P,$B90))</f>
        <v/>
      </c>
    </row>
    <row r="91">
      <c r="A91" s="11" t="b">
        <v>0</v>
      </c>
      <c r="B91" s="11">
        <f>IFERROR(MATCH(24,'Yuri - Book'!$V$4:$V$203,0)+4-1,"")</f>
        <v/>
      </c>
      <c r="C91" s="11">
        <f>IF($B91="","",INDEX('Yuri - Book'!$A:$A,$B91))</f>
        <v/>
      </c>
      <c r="D91" s="11">
        <f>IF($B91="","",INDEX('Yuri - Book'!$B:$B,$B91))</f>
        <v/>
      </c>
      <c r="E91" s="12">
        <f>IF($B91="","",INDEX('Yuri - Book'!$J:$J,$B91))</f>
        <v/>
      </c>
      <c r="F91" s="11">
        <f>IF($B91="","","Yuri")</f>
        <v/>
      </c>
      <c r="G91" s="11">
        <f>IF($B91="","",INDEX('Yuri - Book'!$C:$C,$B91))</f>
        <v/>
      </c>
      <c r="H91" s="11">
        <f>IF($B91="","",INDEX('Yuri - Book'!$D:$D,$B91))</f>
        <v/>
      </c>
      <c r="I91" s="11">
        <f>IF($B91="","",INDEX('Yuri - Book'!$E:$E,$B91))</f>
        <v/>
      </c>
      <c r="J91" s="11">
        <f>IF($B91="","",INDEX('Yuri - Book'!$F:$F,$B91))</f>
        <v/>
      </c>
      <c r="K91" s="11">
        <f>IF($B91="","",INDEX('Yuri - Book'!$K:$K,$B91))</f>
        <v/>
      </c>
      <c r="L91" s="13">
        <f>IF($B91="","",ROUND(INDEX('Yuri - Book'!$Q:$Q,$B91),0))</f>
        <v/>
      </c>
      <c r="M91" s="11">
        <f>IF($B91="","",INDEX('Yuri - Book'!$P:$P,$B91))</f>
        <v/>
      </c>
    </row>
    <row r="92">
      <c r="A92" s="11" t="b">
        <v>0</v>
      </c>
      <c r="B92" s="11">
        <f>IFERROR(MATCH(25,'Yuri - Book'!$V$4:$V$203,0)+4-1,"")</f>
        <v/>
      </c>
      <c r="C92" s="11">
        <f>IF($B92="","",INDEX('Yuri - Book'!$A:$A,$B92))</f>
        <v/>
      </c>
      <c r="D92" s="11">
        <f>IF($B92="","",INDEX('Yuri - Book'!$B:$B,$B92))</f>
        <v/>
      </c>
      <c r="E92" s="12">
        <f>IF($B92="","",INDEX('Yuri - Book'!$J:$J,$B92))</f>
        <v/>
      </c>
      <c r="F92" s="11">
        <f>IF($B92="","","Yuri")</f>
        <v/>
      </c>
      <c r="G92" s="11">
        <f>IF($B92="","",INDEX('Yuri - Book'!$C:$C,$B92))</f>
        <v/>
      </c>
      <c r="H92" s="11">
        <f>IF($B92="","",INDEX('Yuri - Book'!$D:$D,$B92))</f>
        <v/>
      </c>
      <c r="I92" s="11">
        <f>IF($B92="","",INDEX('Yuri - Book'!$E:$E,$B92))</f>
        <v/>
      </c>
      <c r="J92" s="11">
        <f>IF($B92="","",INDEX('Yuri - Book'!$F:$F,$B92))</f>
        <v/>
      </c>
      <c r="K92" s="11">
        <f>IF($B92="","",INDEX('Yuri - Book'!$K:$K,$B92))</f>
        <v/>
      </c>
      <c r="L92" s="13">
        <f>IF($B92="","",ROUND(INDEX('Yuri - Book'!$Q:$Q,$B92),0))</f>
        <v/>
      </c>
      <c r="M92" s="11">
        <f>IF($B92="","",INDEX('Yuri - Book'!$P:$P,$B92))</f>
        <v/>
      </c>
    </row>
    <row r="93">
      <c r="A93" s="11" t="b">
        <v>0</v>
      </c>
      <c r="B93" s="11">
        <f>IFERROR(MATCH(26,'Yuri - Book'!$V$4:$V$203,0)+4-1,"")</f>
        <v/>
      </c>
      <c r="C93" s="11">
        <f>IF($B93="","",INDEX('Yuri - Book'!$A:$A,$B93))</f>
        <v/>
      </c>
      <c r="D93" s="11">
        <f>IF($B93="","",INDEX('Yuri - Book'!$B:$B,$B93))</f>
        <v/>
      </c>
      <c r="E93" s="12">
        <f>IF($B93="","",INDEX('Yuri - Book'!$J:$J,$B93))</f>
        <v/>
      </c>
      <c r="F93" s="11">
        <f>IF($B93="","","Yuri")</f>
        <v/>
      </c>
      <c r="G93" s="11">
        <f>IF($B93="","",INDEX('Yuri - Book'!$C:$C,$B93))</f>
        <v/>
      </c>
      <c r="H93" s="11">
        <f>IF($B93="","",INDEX('Yuri - Book'!$D:$D,$B93))</f>
        <v/>
      </c>
      <c r="I93" s="11">
        <f>IF($B93="","",INDEX('Yuri - Book'!$E:$E,$B93))</f>
        <v/>
      </c>
      <c r="J93" s="11">
        <f>IF($B93="","",INDEX('Yuri - Book'!$F:$F,$B93))</f>
        <v/>
      </c>
      <c r="K93" s="11">
        <f>IF($B93="","",INDEX('Yuri - Book'!$K:$K,$B93))</f>
        <v/>
      </c>
      <c r="L93" s="13">
        <f>IF($B93="","",ROUND(INDEX('Yuri - Book'!$Q:$Q,$B93),0))</f>
        <v/>
      </c>
      <c r="M93" s="11">
        <f>IF($B93="","",INDEX('Yuri - Book'!$P:$P,$B93))</f>
        <v/>
      </c>
    </row>
    <row r="94">
      <c r="A94" s="11" t="b">
        <v>0</v>
      </c>
      <c r="B94" s="11">
        <f>IFERROR(MATCH(27,'Yuri - Book'!$V$4:$V$203,0)+4-1,"")</f>
        <v/>
      </c>
      <c r="C94" s="11">
        <f>IF($B94="","",INDEX('Yuri - Book'!$A:$A,$B94))</f>
        <v/>
      </c>
      <c r="D94" s="11">
        <f>IF($B94="","",INDEX('Yuri - Book'!$B:$B,$B94))</f>
        <v/>
      </c>
      <c r="E94" s="12">
        <f>IF($B94="","",INDEX('Yuri - Book'!$J:$J,$B94))</f>
        <v/>
      </c>
      <c r="F94" s="11">
        <f>IF($B94="","","Yuri")</f>
        <v/>
      </c>
      <c r="G94" s="11">
        <f>IF($B94="","",INDEX('Yuri - Book'!$C:$C,$B94))</f>
        <v/>
      </c>
      <c r="H94" s="11">
        <f>IF($B94="","",INDEX('Yuri - Book'!$D:$D,$B94))</f>
        <v/>
      </c>
      <c r="I94" s="11">
        <f>IF($B94="","",INDEX('Yuri - Book'!$E:$E,$B94))</f>
        <v/>
      </c>
      <c r="J94" s="11">
        <f>IF($B94="","",INDEX('Yuri - Book'!$F:$F,$B94))</f>
        <v/>
      </c>
      <c r="K94" s="11">
        <f>IF($B94="","",INDEX('Yuri - Book'!$K:$K,$B94))</f>
        <v/>
      </c>
      <c r="L94" s="13">
        <f>IF($B94="","",ROUND(INDEX('Yuri - Book'!$Q:$Q,$B94),0))</f>
        <v/>
      </c>
      <c r="M94" s="11">
        <f>IF($B94="","",INDEX('Yuri - Book'!$P:$P,$B94))</f>
        <v/>
      </c>
    </row>
    <row r="95">
      <c r="A95" s="11" t="b">
        <v>0</v>
      </c>
      <c r="B95" s="11">
        <f>IFERROR(MATCH(28,'Yuri - Book'!$V$4:$V$203,0)+4-1,"")</f>
        <v/>
      </c>
      <c r="C95" s="11">
        <f>IF($B95="","",INDEX('Yuri - Book'!$A:$A,$B95))</f>
        <v/>
      </c>
      <c r="D95" s="11">
        <f>IF($B95="","",INDEX('Yuri - Book'!$B:$B,$B95))</f>
        <v/>
      </c>
      <c r="E95" s="12">
        <f>IF($B95="","",INDEX('Yuri - Book'!$J:$J,$B95))</f>
        <v/>
      </c>
      <c r="F95" s="11">
        <f>IF($B95="","","Yuri")</f>
        <v/>
      </c>
      <c r="G95" s="11">
        <f>IF($B95="","",INDEX('Yuri - Book'!$C:$C,$B95))</f>
        <v/>
      </c>
      <c r="H95" s="11">
        <f>IF($B95="","",INDEX('Yuri - Book'!$D:$D,$B95))</f>
        <v/>
      </c>
      <c r="I95" s="11">
        <f>IF($B95="","",INDEX('Yuri - Book'!$E:$E,$B95))</f>
        <v/>
      </c>
      <c r="J95" s="11">
        <f>IF($B95="","",INDEX('Yuri - Book'!$F:$F,$B95))</f>
        <v/>
      </c>
      <c r="K95" s="11">
        <f>IF($B95="","",INDEX('Yuri - Book'!$K:$K,$B95))</f>
        <v/>
      </c>
      <c r="L95" s="13">
        <f>IF($B95="","",ROUND(INDEX('Yuri - Book'!$Q:$Q,$B95),0))</f>
        <v/>
      </c>
      <c r="M95" s="11">
        <f>IF($B95="","",INDEX('Yuri - Book'!$P:$P,$B95))</f>
        <v/>
      </c>
    </row>
    <row r="96">
      <c r="A96" s="11" t="b">
        <v>0</v>
      </c>
      <c r="B96" s="11">
        <f>IFERROR(MATCH(29,'Yuri - Book'!$V$4:$V$203,0)+4-1,"")</f>
        <v/>
      </c>
      <c r="C96" s="11">
        <f>IF($B96="","",INDEX('Yuri - Book'!$A:$A,$B96))</f>
        <v/>
      </c>
      <c r="D96" s="11">
        <f>IF($B96="","",INDEX('Yuri - Book'!$B:$B,$B96))</f>
        <v/>
      </c>
      <c r="E96" s="12">
        <f>IF($B96="","",INDEX('Yuri - Book'!$J:$J,$B96))</f>
        <v/>
      </c>
      <c r="F96" s="11">
        <f>IF($B96="","","Yuri")</f>
        <v/>
      </c>
      <c r="G96" s="11">
        <f>IF($B96="","",INDEX('Yuri - Book'!$C:$C,$B96))</f>
        <v/>
      </c>
      <c r="H96" s="11">
        <f>IF($B96="","",INDEX('Yuri - Book'!$D:$D,$B96))</f>
        <v/>
      </c>
      <c r="I96" s="11">
        <f>IF($B96="","",INDEX('Yuri - Book'!$E:$E,$B96))</f>
        <v/>
      </c>
      <c r="J96" s="11">
        <f>IF($B96="","",INDEX('Yuri - Book'!$F:$F,$B96))</f>
        <v/>
      </c>
      <c r="K96" s="11">
        <f>IF($B96="","",INDEX('Yuri - Book'!$K:$K,$B96))</f>
        <v/>
      </c>
      <c r="L96" s="13">
        <f>IF($B96="","",ROUND(INDEX('Yuri - Book'!$Q:$Q,$B96),0))</f>
        <v/>
      </c>
      <c r="M96" s="11">
        <f>IF($B96="","",INDEX('Yuri - Book'!$P:$P,$B96))</f>
        <v/>
      </c>
    </row>
    <row r="97">
      <c r="A97" s="11" t="b">
        <v>0</v>
      </c>
      <c r="B97" s="11">
        <f>IFERROR(MATCH(30,'Yuri - Book'!$V$4:$V$203,0)+4-1,"")</f>
        <v/>
      </c>
      <c r="C97" s="11">
        <f>IF($B97="","",INDEX('Yuri - Book'!$A:$A,$B97))</f>
        <v/>
      </c>
      <c r="D97" s="11">
        <f>IF($B97="","",INDEX('Yuri - Book'!$B:$B,$B97))</f>
        <v/>
      </c>
      <c r="E97" s="12">
        <f>IF($B97="","",INDEX('Yuri - Book'!$J:$J,$B97))</f>
        <v/>
      </c>
      <c r="F97" s="11">
        <f>IF($B97="","","Yuri")</f>
        <v/>
      </c>
      <c r="G97" s="11">
        <f>IF($B97="","",INDEX('Yuri - Book'!$C:$C,$B97))</f>
        <v/>
      </c>
      <c r="H97" s="11">
        <f>IF($B97="","",INDEX('Yuri - Book'!$D:$D,$B97))</f>
        <v/>
      </c>
      <c r="I97" s="11">
        <f>IF($B97="","",INDEX('Yuri - Book'!$E:$E,$B97))</f>
        <v/>
      </c>
      <c r="J97" s="11">
        <f>IF($B97="","",INDEX('Yuri - Book'!$F:$F,$B97))</f>
        <v/>
      </c>
      <c r="K97" s="11">
        <f>IF($B97="","",INDEX('Yuri - Book'!$K:$K,$B97))</f>
        <v/>
      </c>
      <c r="L97" s="13">
        <f>IF($B97="","",ROUND(INDEX('Yuri - Book'!$Q:$Q,$B97),0))</f>
        <v/>
      </c>
      <c r="M97" s="11">
        <f>IF($B97="","",INDEX('Yuri - Book'!$P:$P,$B97))</f>
        <v/>
      </c>
    </row>
    <row r="98">
      <c r="A98" s="11" t="b">
        <v>0</v>
      </c>
      <c r="B98" s="11">
        <f>IFERROR(MATCH(31,'Yuri - Book'!$V$4:$V$203,0)+4-1,"")</f>
        <v/>
      </c>
      <c r="C98" s="11">
        <f>IF($B98="","",INDEX('Yuri - Book'!$A:$A,$B98))</f>
        <v/>
      </c>
      <c r="D98" s="11">
        <f>IF($B98="","",INDEX('Yuri - Book'!$B:$B,$B98))</f>
        <v/>
      </c>
      <c r="E98" s="12">
        <f>IF($B98="","",INDEX('Yuri - Book'!$J:$J,$B98))</f>
        <v/>
      </c>
      <c r="F98" s="11">
        <f>IF($B98="","","Yuri")</f>
        <v/>
      </c>
      <c r="G98" s="11">
        <f>IF($B98="","",INDEX('Yuri - Book'!$C:$C,$B98))</f>
        <v/>
      </c>
      <c r="H98" s="11">
        <f>IF($B98="","",INDEX('Yuri - Book'!$D:$D,$B98))</f>
        <v/>
      </c>
      <c r="I98" s="11">
        <f>IF($B98="","",INDEX('Yuri - Book'!$E:$E,$B98))</f>
        <v/>
      </c>
      <c r="J98" s="11">
        <f>IF($B98="","",INDEX('Yuri - Book'!$F:$F,$B98))</f>
        <v/>
      </c>
      <c r="K98" s="11">
        <f>IF($B98="","",INDEX('Yuri - Book'!$K:$K,$B98))</f>
        <v/>
      </c>
      <c r="L98" s="13">
        <f>IF($B98="","",ROUND(INDEX('Yuri - Book'!$Q:$Q,$B98),0))</f>
        <v/>
      </c>
      <c r="M98" s="11">
        <f>IF($B98="","",INDEX('Yuri - Book'!$P:$P,$B98))</f>
        <v/>
      </c>
    </row>
    <row r="99">
      <c r="A99" s="11" t="b">
        <v>0</v>
      </c>
      <c r="B99" s="11">
        <f>IFERROR(MATCH(32,'Yuri - Book'!$V$4:$V$203,0)+4-1,"")</f>
        <v/>
      </c>
      <c r="C99" s="11">
        <f>IF($B99="","",INDEX('Yuri - Book'!$A:$A,$B99))</f>
        <v/>
      </c>
      <c r="D99" s="11">
        <f>IF($B99="","",INDEX('Yuri - Book'!$B:$B,$B99))</f>
        <v/>
      </c>
      <c r="E99" s="12">
        <f>IF($B99="","",INDEX('Yuri - Book'!$J:$J,$B99))</f>
        <v/>
      </c>
      <c r="F99" s="11">
        <f>IF($B99="","","Yuri")</f>
        <v/>
      </c>
      <c r="G99" s="11">
        <f>IF($B99="","",INDEX('Yuri - Book'!$C:$C,$B99))</f>
        <v/>
      </c>
      <c r="H99" s="11">
        <f>IF($B99="","",INDEX('Yuri - Book'!$D:$D,$B99))</f>
        <v/>
      </c>
      <c r="I99" s="11">
        <f>IF($B99="","",INDEX('Yuri - Book'!$E:$E,$B99))</f>
        <v/>
      </c>
      <c r="J99" s="11">
        <f>IF($B99="","",INDEX('Yuri - Book'!$F:$F,$B99))</f>
        <v/>
      </c>
      <c r="K99" s="11">
        <f>IF($B99="","",INDEX('Yuri - Book'!$K:$K,$B99))</f>
        <v/>
      </c>
      <c r="L99" s="13">
        <f>IF($B99="","",ROUND(INDEX('Yuri - Book'!$Q:$Q,$B99),0))</f>
        <v/>
      </c>
      <c r="M99" s="11">
        <f>IF($B99="","",INDEX('Yuri - Book'!$P:$P,$B99))</f>
        <v/>
      </c>
    </row>
    <row r="100">
      <c r="A100" s="11" t="b">
        <v>0</v>
      </c>
      <c r="B100" s="11">
        <f>IFERROR(MATCH(33,'Yuri - Book'!$V$4:$V$203,0)+4-1,"")</f>
        <v/>
      </c>
      <c r="C100" s="11">
        <f>IF($B100="","",INDEX('Yuri - Book'!$A:$A,$B100))</f>
        <v/>
      </c>
      <c r="D100" s="11">
        <f>IF($B100="","",INDEX('Yuri - Book'!$B:$B,$B100))</f>
        <v/>
      </c>
      <c r="E100" s="12">
        <f>IF($B100="","",INDEX('Yuri - Book'!$J:$J,$B100))</f>
        <v/>
      </c>
      <c r="F100" s="11">
        <f>IF($B100="","","Yuri")</f>
        <v/>
      </c>
      <c r="G100" s="11">
        <f>IF($B100="","",INDEX('Yuri - Book'!$C:$C,$B100))</f>
        <v/>
      </c>
      <c r="H100" s="11">
        <f>IF($B100="","",INDEX('Yuri - Book'!$D:$D,$B100))</f>
        <v/>
      </c>
      <c r="I100" s="11">
        <f>IF($B100="","",INDEX('Yuri - Book'!$E:$E,$B100))</f>
        <v/>
      </c>
      <c r="J100" s="11">
        <f>IF($B100="","",INDEX('Yuri - Book'!$F:$F,$B100))</f>
        <v/>
      </c>
      <c r="K100" s="11">
        <f>IF($B100="","",INDEX('Yuri - Book'!$K:$K,$B100))</f>
        <v/>
      </c>
      <c r="L100" s="13">
        <f>IF($B100="","",ROUND(INDEX('Yuri - Book'!$Q:$Q,$B100),0))</f>
        <v/>
      </c>
      <c r="M100" s="11">
        <f>IF($B100="","",INDEX('Yuri - Book'!$P:$P,$B100))</f>
        <v/>
      </c>
    </row>
    <row r="101">
      <c r="A101" s="11" t="b">
        <v>0</v>
      </c>
      <c r="B101" s="11">
        <f>IFERROR(MATCH(34,'Yuri - Book'!$V$4:$V$203,0)+4-1,"")</f>
        <v/>
      </c>
      <c r="C101" s="11">
        <f>IF($B101="","",INDEX('Yuri - Book'!$A:$A,$B101))</f>
        <v/>
      </c>
      <c r="D101" s="11">
        <f>IF($B101="","",INDEX('Yuri - Book'!$B:$B,$B101))</f>
        <v/>
      </c>
      <c r="E101" s="12">
        <f>IF($B101="","",INDEX('Yuri - Book'!$J:$J,$B101))</f>
        <v/>
      </c>
      <c r="F101" s="11">
        <f>IF($B101="","","Yuri")</f>
        <v/>
      </c>
      <c r="G101" s="11">
        <f>IF($B101="","",INDEX('Yuri - Book'!$C:$C,$B101))</f>
        <v/>
      </c>
      <c r="H101" s="11">
        <f>IF($B101="","",INDEX('Yuri - Book'!$D:$D,$B101))</f>
        <v/>
      </c>
      <c r="I101" s="11">
        <f>IF($B101="","",INDEX('Yuri - Book'!$E:$E,$B101))</f>
        <v/>
      </c>
      <c r="J101" s="11">
        <f>IF($B101="","",INDEX('Yuri - Book'!$F:$F,$B101))</f>
        <v/>
      </c>
      <c r="K101" s="11">
        <f>IF($B101="","",INDEX('Yuri - Book'!$K:$K,$B101))</f>
        <v/>
      </c>
      <c r="L101" s="13">
        <f>IF($B101="","",ROUND(INDEX('Yuri - Book'!$Q:$Q,$B101),0))</f>
        <v/>
      </c>
      <c r="M101" s="11">
        <f>IF($B101="","",INDEX('Yuri - Book'!$P:$P,$B101))</f>
        <v/>
      </c>
    </row>
    <row r="102">
      <c r="A102" s="11" t="b">
        <v>0</v>
      </c>
      <c r="B102" s="11">
        <f>IFERROR(MATCH(35,'Yuri - Book'!$V$4:$V$203,0)+4-1,"")</f>
        <v/>
      </c>
      <c r="C102" s="11">
        <f>IF($B102="","",INDEX('Yuri - Book'!$A:$A,$B102))</f>
        <v/>
      </c>
      <c r="D102" s="11">
        <f>IF($B102="","",INDEX('Yuri - Book'!$B:$B,$B102))</f>
        <v/>
      </c>
      <c r="E102" s="12">
        <f>IF($B102="","",INDEX('Yuri - Book'!$J:$J,$B102))</f>
        <v/>
      </c>
      <c r="F102" s="11">
        <f>IF($B102="","","Yuri")</f>
        <v/>
      </c>
      <c r="G102" s="11">
        <f>IF($B102="","",INDEX('Yuri - Book'!$C:$C,$B102))</f>
        <v/>
      </c>
      <c r="H102" s="11">
        <f>IF($B102="","",INDEX('Yuri - Book'!$D:$D,$B102))</f>
        <v/>
      </c>
      <c r="I102" s="11">
        <f>IF($B102="","",INDEX('Yuri - Book'!$E:$E,$B102))</f>
        <v/>
      </c>
      <c r="J102" s="11">
        <f>IF($B102="","",INDEX('Yuri - Book'!$F:$F,$B102))</f>
        <v/>
      </c>
      <c r="K102" s="11">
        <f>IF($B102="","",INDEX('Yuri - Book'!$K:$K,$B102))</f>
        <v/>
      </c>
      <c r="L102" s="13">
        <f>IF($B102="","",ROUND(INDEX('Yuri - Book'!$Q:$Q,$B102),0))</f>
        <v/>
      </c>
      <c r="M102" s="11">
        <f>IF($B102="","",INDEX('Yuri - Book'!$P:$P,$B102))</f>
        <v/>
      </c>
    </row>
    <row r="103">
      <c r="A103" s="11" t="b">
        <v>0</v>
      </c>
      <c r="B103" s="11">
        <f>IFERROR(MATCH(36,'Yuri - Book'!$V$4:$V$203,0)+4-1,"")</f>
        <v/>
      </c>
      <c r="C103" s="11">
        <f>IF($B103="","",INDEX('Yuri - Book'!$A:$A,$B103))</f>
        <v/>
      </c>
      <c r="D103" s="11">
        <f>IF($B103="","",INDEX('Yuri - Book'!$B:$B,$B103))</f>
        <v/>
      </c>
      <c r="E103" s="12">
        <f>IF($B103="","",INDEX('Yuri - Book'!$J:$J,$B103))</f>
        <v/>
      </c>
      <c r="F103" s="11">
        <f>IF($B103="","","Yuri")</f>
        <v/>
      </c>
      <c r="G103" s="11">
        <f>IF($B103="","",INDEX('Yuri - Book'!$C:$C,$B103))</f>
        <v/>
      </c>
      <c r="H103" s="11">
        <f>IF($B103="","",INDEX('Yuri - Book'!$D:$D,$B103))</f>
        <v/>
      </c>
      <c r="I103" s="11">
        <f>IF($B103="","",INDEX('Yuri - Book'!$E:$E,$B103))</f>
        <v/>
      </c>
      <c r="J103" s="11">
        <f>IF($B103="","",INDEX('Yuri - Book'!$F:$F,$B103))</f>
        <v/>
      </c>
      <c r="K103" s="11">
        <f>IF($B103="","",INDEX('Yuri - Book'!$K:$K,$B103))</f>
        <v/>
      </c>
      <c r="L103" s="13">
        <f>IF($B103="","",ROUND(INDEX('Yuri - Book'!$Q:$Q,$B103),0))</f>
        <v/>
      </c>
      <c r="M103" s="11">
        <f>IF($B103="","",INDEX('Yuri - Book'!$P:$P,$B103))</f>
        <v/>
      </c>
    </row>
    <row r="104">
      <c r="A104" s="11" t="b">
        <v>0</v>
      </c>
      <c r="B104" s="11">
        <f>IFERROR(MATCH(37,'Yuri - Book'!$V$4:$V$203,0)+4-1,"")</f>
        <v/>
      </c>
      <c r="C104" s="11">
        <f>IF($B104="","",INDEX('Yuri - Book'!$A:$A,$B104))</f>
        <v/>
      </c>
      <c r="D104" s="11">
        <f>IF($B104="","",INDEX('Yuri - Book'!$B:$B,$B104))</f>
        <v/>
      </c>
      <c r="E104" s="12">
        <f>IF($B104="","",INDEX('Yuri - Book'!$J:$J,$B104))</f>
        <v/>
      </c>
      <c r="F104" s="11">
        <f>IF($B104="","","Yuri")</f>
        <v/>
      </c>
      <c r="G104" s="11">
        <f>IF($B104="","",INDEX('Yuri - Book'!$C:$C,$B104))</f>
        <v/>
      </c>
      <c r="H104" s="11">
        <f>IF($B104="","",INDEX('Yuri - Book'!$D:$D,$B104))</f>
        <v/>
      </c>
      <c r="I104" s="11">
        <f>IF($B104="","",INDEX('Yuri - Book'!$E:$E,$B104))</f>
        <v/>
      </c>
      <c r="J104" s="11">
        <f>IF($B104="","",INDEX('Yuri - Book'!$F:$F,$B104))</f>
        <v/>
      </c>
      <c r="K104" s="11">
        <f>IF($B104="","",INDEX('Yuri - Book'!$K:$K,$B104))</f>
        <v/>
      </c>
      <c r="L104" s="13">
        <f>IF($B104="","",ROUND(INDEX('Yuri - Book'!$Q:$Q,$B104),0))</f>
        <v/>
      </c>
      <c r="M104" s="11">
        <f>IF($B104="","",INDEX('Yuri - Book'!$P:$P,$B104))</f>
        <v/>
      </c>
    </row>
    <row r="105">
      <c r="A105" s="11" t="b">
        <v>0</v>
      </c>
      <c r="B105" s="11">
        <f>IFERROR(MATCH(38,'Yuri - Book'!$V$4:$V$203,0)+4-1,"")</f>
        <v/>
      </c>
      <c r="C105" s="11">
        <f>IF($B105="","",INDEX('Yuri - Book'!$A:$A,$B105))</f>
        <v/>
      </c>
      <c r="D105" s="11">
        <f>IF($B105="","",INDEX('Yuri - Book'!$B:$B,$B105))</f>
        <v/>
      </c>
      <c r="E105" s="12">
        <f>IF($B105="","",INDEX('Yuri - Book'!$J:$J,$B105))</f>
        <v/>
      </c>
      <c r="F105" s="11">
        <f>IF($B105="","","Yuri")</f>
        <v/>
      </c>
      <c r="G105" s="11">
        <f>IF($B105="","",INDEX('Yuri - Book'!$C:$C,$B105))</f>
        <v/>
      </c>
      <c r="H105" s="11">
        <f>IF($B105="","",INDEX('Yuri - Book'!$D:$D,$B105))</f>
        <v/>
      </c>
      <c r="I105" s="11">
        <f>IF($B105="","",INDEX('Yuri - Book'!$E:$E,$B105))</f>
        <v/>
      </c>
      <c r="J105" s="11">
        <f>IF($B105="","",INDEX('Yuri - Book'!$F:$F,$B105))</f>
        <v/>
      </c>
      <c r="K105" s="11">
        <f>IF($B105="","",INDEX('Yuri - Book'!$K:$K,$B105))</f>
        <v/>
      </c>
      <c r="L105" s="13">
        <f>IF($B105="","",ROUND(INDEX('Yuri - Book'!$Q:$Q,$B105),0))</f>
        <v/>
      </c>
      <c r="M105" s="11">
        <f>IF($B105="","",INDEX('Yuri - Book'!$P:$P,$B105))</f>
        <v/>
      </c>
    </row>
    <row r="106">
      <c r="A106" s="11" t="b">
        <v>0</v>
      </c>
      <c r="B106" s="11">
        <f>IFERROR(MATCH(39,'Yuri - Book'!$V$4:$V$203,0)+4-1,"")</f>
        <v/>
      </c>
      <c r="C106" s="11">
        <f>IF($B106="","",INDEX('Yuri - Book'!$A:$A,$B106))</f>
        <v/>
      </c>
      <c r="D106" s="11">
        <f>IF($B106="","",INDEX('Yuri - Book'!$B:$B,$B106))</f>
        <v/>
      </c>
      <c r="E106" s="12">
        <f>IF($B106="","",INDEX('Yuri - Book'!$J:$J,$B106))</f>
        <v/>
      </c>
      <c r="F106" s="11">
        <f>IF($B106="","","Yuri")</f>
        <v/>
      </c>
      <c r="G106" s="11">
        <f>IF($B106="","",INDEX('Yuri - Book'!$C:$C,$B106))</f>
        <v/>
      </c>
      <c r="H106" s="11">
        <f>IF($B106="","",INDEX('Yuri - Book'!$D:$D,$B106))</f>
        <v/>
      </c>
      <c r="I106" s="11">
        <f>IF($B106="","",INDEX('Yuri - Book'!$E:$E,$B106))</f>
        <v/>
      </c>
      <c r="J106" s="11">
        <f>IF($B106="","",INDEX('Yuri - Book'!$F:$F,$B106))</f>
        <v/>
      </c>
      <c r="K106" s="11">
        <f>IF($B106="","",INDEX('Yuri - Book'!$K:$K,$B106))</f>
        <v/>
      </c>
      <c r="L106" s="13">
        <f>IF($B106="","",ROUND(INDEX('Yuri - Book'!$Q:$Q,$B106),0))</f>
        <v/>
      </c>
      <c r="M106" s="11">
        <f>IF($B106="","",INDEX('Yuri - Book'!$P:$P,$B106))</f>
        <v/>
      </c>
    </row>
    <row r="107">
      <c r="A107" s="11" t="b">
        <v>0</v>
      </c>
      <c r="B107" s="11">
        <f>IFERROR(MATCH(40,'Yuri - Book'!$V$4:$V$203,0)+4-1,"")</f>
        <v/>
      </c>
      <c r="C107" s="11">
        <f>IF($B107="","",INDEX('Yuri - Book'!$A:$A,$B107))</f>
        <v/>
      </c>
      <c r="D107" s="11">
        <f>IF($B107="","",INDEX('Yuri - Book'!$B:$B,$B107))</f>
        <v/>
      </c>
      <c r="E107" s="12">
        <f>IF($B107="","",INDEX('Yuri - Book'!$J:$J,$B107))</f>
        <v/>
      </c>
      <c r="F107" s="11">
        <f>IF($B107="","","Yuri")</f>
        <v/>
      </c>
      <c r="G107" s="11">
        <f>IF($B107="","",INDEX('Yuri - Book'!$C:$C,$B107))</f>
        <v/>
      </c>
      <c r="H107" s="11">
        <f>IF($B107="","",INDEX('Yuri - Book'!$D:$D,$B107))</f>
        <v/>
      </c>
      <c r="I107" s="11">
        <f>IF($B107="","",INDEX('Yuri - Book'!$E:$E,$B107))</f>
        <v/>
      </c>
      <c r="J107" s="11">
        <f>IF($B107="","",INDEX('Yuri - Book'!$F:$F,$B107))</f>
        <v/>
      </c>
      <c r="K107" s="11">
        <f>IF($B107="","",INDEX('Yuri - Book'!$K:$K,$B107))</f>
        <v/>
      </c>
      <c r="L107" s="13">
        <f>IF($B107="","",ROUND(INDEX('Yuri - Book'!$Q:$Q,$B107),0))</f>
        <v/>
      </c>
      <c r="M107" s="11">
        <f>IF($B107="","",INDEX('Yuri - Book'!$P:$P,$B107))</f>
        <v/>
      </c>
    </row>
    <row r="108">
      <c r="A108" s="11" t="b">
        <v>0</v>
      </c>
      <c r="B108" s="11">
        <f>IFERROR(MATCH(41,'Yuri - Book'!$V$4:$V$203,0)+4-1,"")</f>
        <v/>
      </c>
      <c r="C108" s="11">
        <f>IF($B108="","",INDEX('Yuri - Book'!$A:$A,$B108))</f>
        <v/>
      </c>
      <c r="D108" s="11">
        <f>IF($B108="","",INDEX('Yuri - Book'!$B:$B,$B108))</f>
        <v/>
      </c>
      <c r="E108" s="12">
        <f>IF($B108="","",INDEX('Yuri - Book'!$J:$J,$B108))</f>
        <v/>
      </c>
      <c r="F108" s="11">
        <f>IF($B108="","","Yuri")</f>
        <v/>
      </c>
      <c r="G108" s="11">
        <f>IF($B108="","",INDEX('Yuri - Book'!$C:$C,$B108))</f>
        <v/>
      </c>
      <c r="H108" s="11">
        <f>IF($B108="","",INDEX('Yuri - Book'!$D:$D,$B108))</f>
        <v/>
      </c>
      <c r="I108" s="11">
        <f>IF($B108="","",INDEX('Yuri - Book'!$E:$E,$B108))</f>
        <v/>
      </c>
      <c r="J108" s="11">
        <f>IF($B108="","",INDEX('Yuri - Book'!$F:$F,$B108))</f>
        <v/>
      </c>
      <c r="K108" s="11">
        <f>IF($B108="","",INDEX('Yuri - Book'!$K:$K,$B108))</f>
        <v/>
      </c>
      <c r="L108" s="13">
        <f>IF($B108="","",ROUND(INDEX('Yuri - Book'!$Q:$Q,$B108),0))</f>
        <v/>
      </c>
      <c r="M108" s="11">
        <f>IF($B108="","",INDEX('Yuri - Book'!$P:$P,$B108))</f>
        <v/>
      </c>
    </row>
    <row r="109">
      <c r="A109" s="11" t="b">
        <v>0</v>
      </c>
      <c r="B109" s="11">
        <f>IFERROR(MATCH(42,'Yuri - Book'!$V$4:$V$203,0)+4-1,"")</f>
        <v/>
      </c>
      <c r="C109" s="11">
        <f>IF($B109="","",INDEX('Yuri - Book'!$A:$A,$B109))</f>
        <v/>
      </c>
      <c r="D109" s="11">
        <f>IF($B109="","",INDEX('Yuri - Book'!$B:$B,$B109))</f>
        <v/>
      </c>
      <c r="E109" s="12">
        <f>IF($B109="","",INDEX('Yuri - Book'!$J:$J,$B109))</f>
        <v/>
      </c>
      <c r="F109" s="11">
        <f>IF($B109="","","Yuri")</f>
        <v/>
      </c>
      <c r="G109" s="11">
        <f>IF($B109="","",INDEX('Yuri - Book'!$C:$C,$B109))</f>
        <v/>
      </c>
      <c r="H109" s="11">
        <f>IF($B109="","",INDEX('Yuri - Book'!$D:$D,$B109))</f>
        <v/>
      </c>
      <c r="I109" s="11">
        <f>IF($B109="","",INDEX('Yuri - Book'!$E:$E,$B109))</f>
        <v/>
      </c>
      <c r="J109" s="11">
        <f>IF($B109="","",INDEX('Yuri - Book'!$F:$F,$B109))</f>
        <v/>
      </c>
      <c r="K109" s="11">
        <f>IF($B109="","",INDEX('Yuri - Book'!$K:$K,$B109))</f>
        <v/>
      </c>
      <c r="L109" s="13">
        <f>IF($B109="","",ROUND(INDEX('Yuri - Book'!$Q:$Q,$B109),0))</f>
        <v/>
      </c>
      <c r="M109" s="11">
        <f>IF($B109="","",INDEX('Yuri - Book'!$P:$P,$B109))</f>
        <v/>
      </c>
    </row>
    <row r="110">
      <c r="A110" s="11" t="b">
        <v>0</v>
      </c>
      <c r="B110" s="11">
        <f>IFERROR(MATCH(43,'Yuri - Book'!$V$4:$V$203,0)+4-1,"")</f>
        <v/>
      </c>
      <c r="C110" s="11">
        <f>IF($B110="","",INDEX('Yuri - Book'!$A:$A,$B110))</f>
        <v/>
      </c>
      <c r="D110" s="11">
        <f>IF($B110="","",INDEX('Yuri - Book'!$B:$B,$B110))</f>
        <v/>
      </c>
      <c r="E110" s="12">
        <f>IF($B110="","",INDEX('Yuri - Book'!$J:$J,$B110))</f>
        <v/>
      </c>
      <c r="F110" s="11">
        <f>IF($B110="","","Yuri")</f>
        <v/>
      </c>
      <c r="G110" s="11">
        <f>IF($B110="","",INDEX('Yuri - Book'!$C:$C,$B110))</f>
        <v/>
      </c>
      <c r="H110" s="11">
        <f>IF($B110="","",INDEX('Yuri - Book'!$D:$D,$B110))</f>
        <v/>
      </c>
      <c r="I110" s="11">
        <f>IF($B110="","",INDEX('Yuri - Book'!$E:$E,$B110))</f>
        <v/>
      </c>
      <c r="J110" s="11">
        <f>IF($B110="","",INDEX('Yuri - Book'!$F:$F,$B110))</f>
        <v/>
      </c>
      <c r="K110" s="11">
        <f>IF($B110="","",INDEX('Yuri - Book'!$K:$K,$B110))</f>
        <v/>
      </c>
      <c r="L110" s="13">
        <f>IF($B110="","",ROUND(INDEX('Yuri - Book'!$Q:$Q,$B110),0))</f>
        <v/>
      </c>
      <c r="M110" s="11">
        <f>IF($B110="","",INDEX('Yuri - Book'!$P:$P,$B110))</f>
        <v/>
      </c>
    </row>
    <row r="111">
      <c r="A111" s="11" t="b">
        <v>0</v>
      </c>
      <c r="B111" s="11">
        <f>IFERROR(MATCH(44,'Yuri - Book'!$V$4:$V$203,0)+4-1,"")</f>
        <v/>
      </c>
      <c r="C111" s="11">
        <f>IF($B111="","",INDEX('Yuri - Book'!$A:$A,$B111))</f>
        <v/>
      </c>
      <c r="D111" s="11">
        <f>IF($B111="","",INDEX('Yuri - Book'!$B:$B,$B111))</f>
        <v/>
      </c>
      <c r="E111" s="12">
        <f>IF($B111="","",INDEX('Yuri - Book'!$J:$J,$B111))</f>
        <v/>
      </c>
      <c r="F111" s="11">
        <f>IF($B111="","","Yuri")</f>
        <v/>
      </c>
      <c r="G111" s="11">
        <f>IF($B111="","",INDEX('Yuri - Book'!$C:$C,$B111))</f>
        <v/>
      </c>
      <c r="H111" s="11">
        <f>IF($B111="","",INDEX('Yuri - Book'!$D:$D,$B111))</f>
        <v/>
      </c>
      <c r="I111" s="11">
        <f>IF($B111="","",INDEX('Yuri - Book'!$E:$E,$B111))</f>
        <v/>
      </c>
      <c r="J111" s="11">
        <f>IF($B111="","",INDEX('Yuri - Book'!$F:$F,$B111))</f>
        <v/>
      </c>
      <c r="K111" s="11">
        <f>IF($B111="","",INDEX('Yuri - Book'!$K:$K,$B111))</f>
        <v/>
      </c>
      <c r="L111" s="13">
        <f>IF($B111="","",ROUND(INDEX('Yuri - Book'!$Q:$Q,$B111),0))</f>
        <v/>
      </c>
      <c r="M111" s="11">
        <f>IF($B111="","",INDEX('Yuri - Book'!$P:$P,$B111))</f>
        <v/>
      </c>
    </row>
    <row r="112">
      <c r="A112" s="11" t="b">
        <v>0</v>
      </c>
      <c r="B112" s="11">
        <f>IFERROR(MATCH(45,'Yuri - Book'!$V$4:$V$203,0)+4-1,"")</f>
        <v/>
      </c>
      <c r="C112" s="11">
        <f>IF($B112="","",INDEX('Yuri - Book'!$A:$A,$B112))</f>
        <v/>
      </c>
      <c r="D112" s="11">
        <f>IF($B112="","",INDEX('Yuri - Book'!$B:$B,$B112))</f>
        <v/>
      </c>
      <c r="E112" s="12">
        <f>IF($B112="","",INDEX('Yuri - Book'!$J:$J,$B112))</f>
        <v/>
      </c>
      <c r="F112" s="11">
        <f>IF($B112="","","Yuri")</f>
        <v/>
      </c>
      <c r="G112" s="11">
        <f>IF($B112="","",INDEX('Yuri - Book'!$C:$C,$B112))</f>
        <v/>
      </c>
      <c r="H112" s="11">
        <f>IF($B112="","",INDEX('Yuri - Book'!$D:$D,$B112))</f>
        <v/>
      </c>
      <c r="I112" s="11">
        <f>IF($B112="","",INDEX('Yuri - Book'!$E:$E,$B112))</f>
        <v/>
      </c>
      <c r="J112" s="11">
        <f>IF($B112="","",INDEX('Yuri - Book'!$F:$F,$B112))</f>
        <v/>
      </c>
      <c r="K112" s="11">
        <f>IF($B112="","",INDEX('Yuri - Book'!$K:$K,$B112))</f>
        <v/>
      </c>
      <c r="L112" s="13">
        <f>IF($B112="","",ROUND(INDEX('Yuri - Book'!$Q:$Q,$B112),0))</f>
        <v/>
      </c>
      <c r="M112" s="11">
        <f>IF($B112="","",INDEX('Yuri - Book'!$P:$P,$B112))</f>
        <v/>
      </c>
    </row>
    <row r="113">
      <c r="A113" s="11" t="b">
        <v>0</v>
      </c>
      <c r="B113" s="11">
        <f>IFERROR(MATCH(46,'Yuri - Book'!$V$4:$V$203,0)+4-1,"")</f>
        <v/>
      </c>
      <c r="C113" s="11">
        <f>IF($B113="","",INDEX('Yuri - Book'!$A:$A,$B113))</f>
        <v/>
      </c>
      <c r="D113" s="11">
        <f>IF($B113="","",INDEX('Yuri - Book'!$B:$B,$B113))</f>
        <v/>
      </c>
      <c r="E113" s="12">
        <f>IF($B113="","",INDEX('Yuri - Book'!$J:$J,$B113))</f>
        <v/>
      </c>
      <c r="F113" s="11">
        <f>IF($B113="","","Yuri")</f>
        <v/>
      </c>
      <c r="G113" s="11">
        <f>IF($B113="","",INDEX('Yuri - Book'!$C:$C,$B113))</f>
        <v/>
      </c>
      <c r="H113" s="11">
        <f>IF($B113="","",INDEX('Yuri - Book'!$D:$D,$B113))</f>
        <v/>
      </c>
      <c r="I113" s="11">
        <f>IF($B113="","",INDEX('Yuri - Book'!$E:$E,$B113))</f>
        <v/>
      </c>
      <c r="J113" s="11">
        <f>IF($B113="","",INDEX('Yuri - Book'!$F:$F,$B113))</f>
        <v/>
      </c>
      <c r="K113" s="11">
        <f>IF($B113="","",INDEX('Yuri - Book'!$K:$K,$B113))</f>
        <v/>
      </c>
      <c r="L113" s="13">
        <f>IF($B113="","",ROUND(INDEX('Yuri - Book'!$Q:$Q,$B113),0))</f>
        <v/>
      </c>
      <c r="M113" s="11">
        <f>IF($B113="","",INDEX('Yuri - Book'!$P:$P,$B113))</f>
        <v/>
      </c>
    </row>
    <row r="114">
      <c r="A114" s="11" t="b">
        <v>0</v>
      </c>
      <c r="B114" s="11">
        <f>IFERROR(MATCH(47,'Yuri - Book'!$V$4:$V$203,0)+4-1,"")</f>
        <v/>
      </c>
      <c r="C114" s="11">
        <f>IF($B114="","",INDEX('Yuri - Book'!$A:$A,$B114))</f>
        <v/>
      </c>
      <c r="D114" s="11">
        <f>IF($B114="","",INDEX('Yuri - Book'!$B:$B,$B114))</f>
        <v/>
      </c>
      <c r="E114" s="12">
        <f>IF($B114="","",INDEX('Yuri - Book'!$J:$J,$B114))</f>
        <v/>
      </c>
      <c r="F114" s="11">
        <f>IF($B114="","","Yuri")</f>
        <v/>
      </c>
      <c r="G114" s="11">
        <f>IF($B114="","",INDEX('Yuri - Book'!$C:$C,$B114))</f>
        <v/>
      </c>
      <c r="H114" s="11">
        <f>IF($B114="","",INDEX('Yuri - Book'!$D:$D,$B114))</f>
        <v/>
      </c>
      <c r="I114" s="11">
        <f>IF($B114="","",INDEX('Yuri - Book'!$E:$E,$B114))</f>
        <v/>
      </c>
      <c r="J114" s="11">
        <f>IF($B114="","",INDEX('Yuri - Book'!$F:$F,$B114))</f>
        <v/>
      </c>
      <c r="K114" s="11">
        <f>IF($B114="","",INDEX('Yuri - Book'!$K:$K,$B114))</f>
        <v/>
      </c>
      <c r="L114" s="13">
        <f>IF($B114="","",ROUND(INDEX('Yuri - Book'!$Q:$Q,$B114),0))</f>
        <v/>
      </c>
      <c r="M114" s="11">
        <f>IF($B114="","",INDEX('Yuri - Book'!$P:$P,$B114))</f>
        <v/>
      </c>
    </row>
    <row r="115">
      <c r="A115" s="11" t="b">
        <v>0</v>
      </c>
      <c r="B115" s="11">
        <f>IFERROR(MATCH(48,'Yuri - Book'!$V$4:$V$203,0)+4-1,"")</f>
        <v/>
      </c>
      <c r="C115" s="11">
        <f>IF($B115="","",INDEX('Yuri - Book'!$A:$A,$B115))</f>
        <v/>
      </c>
      <c r="D115" s="11">
        <f>IF($B115="","",INDEX('Yuri - Book'!$B:$B,$B115))</f>
        <v/>
      </c>
      <c r="E115" s="12">
        <f>IF($B115="","",INDEX('Yuri - Book'!$J:$J,$B115))</f>
        <v/>
      </c>
      <c r="F115" s="11">
        <f>IF($B115="","","Yuri")</f>
        <v/>
      </c>
      <c r="G115" s="11">
        <f>IF($B115="","",INDEX('Yuri - Book'!$C:$C,$B115))</f>
        <v/>
      </c>
      <c r="H115" s="11">
        <f>IF($B115="","",INDEX('Yuri - Book'!$D:$D,$B115))</f>
        <v/>
      </c>
      <c r="I115" s="11">
        <f>IF($B115="","",INDEX('Yuri - Book'!$E:$E,$B115))</f>
        <v/>
      </c>
      <c r="J115" s="11">
        <f>IF($B115="","",INDEX('Yuri - Book'!$F:$F,$B115))</f>
        <v/>
      </c>
      <c r="K115" s="11">
        <f>IF($B115="","",INDEX('Yuri - Book'!$K:$K,$B115))</f>
        <v/>
      </c>
      <c r="L115" s="13">
        <f>IF($B115="","",ROUND(INDEX('Yuri - Book'!$Q:$Q,$B115),0))</f>
        <v/>
      </c>
      <c r="M115" s="11">
        <f>IF($B115="","",INDEX('Yuri - Book'!$P:$P,$B115))</f>
        <v/>
      </c>
    </row>
    <row r="116">
      <c r="A116" s="11" t="b">
        <v>0</v>
      </c>
      <c r="B116" s="11">
        <f>IFERROR(MATCH(49,'Yuri - Book'!$V$4:$V$203,0)+4-1,"")</f>
        <v/>
      </c>
      <c r="C116" s="11">
        <f>IF($B116="","",INDEX('Yuri - Book'!$A:$A,$B116))</f>
        <v/>
      </c>
      <c r="D116" s="11">
        <f>IF($B116="","",INDEX('Yuri - Book'!$B:$B,$B116))</f>
        <v/>
      </c>
      <c r="E116" s="12">
        <f>IF($B116="","",INDEX('Yuri - Book'!$J:$J,$B116))</f>
        <v/>
      </c>
      <c r="F116" s="11">
        <f>IF($B116="","","Yuri")</f>
        <v/>
      </c>
      <c r="G116" s="11">
        <f>IF($B116="","",INDEX('Yuri - Book'!$C:$C,$B116))</f>
        <v/>
      </c>
      <c r="H116" s="11">
        <f>IF($B116="","",INDEX('Yuri - Book'!$D:$D,$B116))</f>
        <v/>
      </c>
      <c r="I116" s="11">
        <f>IF($B116="","",INDEX('Yuri - Book'!$E:$E,$B116))</f>
        <v/>
      </c>
      <c r="J116" s="11">
        <f>IF($B116="","",INDEX('Yuri - Book'!$F:$F,$B116))</f>
        <v/>
      </c>
      <c r="K116" s="11">
        <f>IF($B116="","",INDEX('Yuri - Book'!$K:$K,$B116))</f>
        <v/>
      </c>
      <c r="L116" s="13">
        <f>IF($B116="","",ROUND(INDEX('Yuri - Book'!$Q:$Q,$B116),0))</f>
        <v/>
      </c>
      <c r="M116" s="11">
        <f>IF($B116="","",INDEX('Yuri - Book'!$P:$P,$B116))</f>
        <v/>
      </c>
    </row>
    <row r="117">
      <c r="A117" s="11" t="b">
        <v>0</v>
      </c>
      <c r="B117" s="11">
        <f>IFERROR(MATCH(50,'Yuri - Book'!$V$4:$V$203,0)+4-1,"")</f>
        <v/>
      </c>
      <c r="C117" s="11">
        <f>IF($B117="","",INDEX('Yuri - Book'!$A:$A,$B117))</f>
        <v/>
      </c>
      <c r="D117" s="11">
        <f>IF($B117="","",INDEX('Yuri - Book'!$B:$B,$B117))</f>
        <v/>
      </c>
      <c r="E117" s="12">
        <f>IF($B117="","",INDEX('Yuri - Book'!$J:$J,$B117))</f>
        <v/>
      </c>
      <c r="F117" s="11">
        <f>IF($B117="","","Yuri")</f>
        <v/>
      </c>
      <c r="G117" s="11">
        <f>IF($B117="","",INDEX('Yuri - Book'!$C:$C,$B117))</f>
        <v/>
      </c>
      <c r="H117" s="11">
        <f>IF($B117="","",INDEX('Yuri - Book'!$D:$D,$B117))</f>
        <v/>
      </c>
      <c r="I117" s="11">
        <f>IF($B117="","",INDEX('Yuri - Book'!$E:$E,$B117))</f>
        <v/>
      </c>
      <c r="J117" s="11">
        <f>IF($B117="","",INDEX('Yuri - Book'!$F:$F,$B117))</f>
        <v/>
      </c>
      <c r="K117" s="11">
        <f>IF($B117="","",INDEX('Yuri - Book'!$K:$K,$B117))</f>
        <v/>
      </c>
      <c r="L117" s="13">
        <f>IF($B117="","",ROUND(INDEX('Yuri - Book'!$Q:$Q,$B117),0))</f>
        <v/>
      </c>
      <c r="M117" s="11">
        <f>IF($B117="","",INDEX('Yuri - Book'!$P:$P,$B117))</f>
        <v/>
      </c>
    </row>
    <row r="118">
      <c r="A118" s="11" t="b">
        <v>0</v>
      </c>
      <c r="B118" s="11">
        <f>IFERROR(MATCH(51,'Yuri - Book'!$V$4:$V$203,0)+4-1,"")</f>
        <v/>
      </c>
      <c r="C118" s="11">
        <f>IF($B118="","",INDEX('Yuri - Book'!$A:$A,$B118))</f>
        <v/>
      </c>
      <c r="D118" s="11">
        <f>IF($B118="","",INDEX('Yuri - Book'!$B:$B,$B118))</f>
        <v/>
      </c>
      <c r="E118" s="12">
        <f>IF($B118="","",INDEX('Yuri - Book'!$J:$J,$B118))</f>
        <v/>
      </c>
      <c r="F118" s="11">
        <f>IF($B118="","","Yuri")</f>
        <v/>
      </c>
      <c r="G118" s="11">
        <f>IF($B118="","",INDEX('Yuri - Book'!$C:$C,$B118))</f>
        <v/>
      </c>
      <c r="H118" s="11">
        <f>IF($B118="","",INDEX('Yuri - Book'!$D:$D,$B118))</f>
        <v/>
      </c>
      <c r="I118" s="11">
        <f>IF($B118="","",INDEX('Yuri - Book'!$E:$E,$B118))</f>
        <v/>
      </c>
      <c r="J118" s="11">
        <f>IF($B118="","",INDEX('Yuri - Book'!$F:$F,$B118))</f>
        <v/>
      </c>
      <c r="K118" s="11">
        <f>IF($B118="","",INDEX('Yuri - Book'!$K:$K,$B118))</f>
        <v/>
      </c>
      <c r="L118" s="13">
        <f>IF($B118="","",ROUND(INDEX('Yuri - Book'!$Q:$Q,$B118),0))</f>
        <v/>
      </c>
      <c r="M118" s="11">
        <f>IF($B118="","",INDEX('Yuri - Book'!$P:$P,$B118))</f>
        <v/>
      </c>
    </row>
    <row r="119">
      <c r="A119" s="11" t="b">
        <v>0</v>
      </c>
      <c r="B119" s="11">
        <f>IFERROR(MATCH(52,'Yuri - Book'!$V$4:$V$203,0)+4-1,"")</f>
        <v/>
      </c>
      <c r="C119" s="11">
        <f>IF($B119="","",INDEX('Yuri - Book'!$A:$A,$B119))</f>
        <v/>
      </c>
      <c r="D119" s="11">
        <f>IF($B119="","",INDEX('Yuri - Book'!$B:$B,$B119))</f>
        <v/>
      </c>
      <c r="E119" s="12">
        <f>IF($B119="","",INDEX('Yuri - Book'!$J:$J,$B119))</f>
        <v/>
      </c>
      <c r="F119" s="11">
        <f>IF($B119="","","Yuri")</f>
        <v/>
      </c>
      <c r="G119" s="11">
        <f>IF($B119="","",INDEX('Yuri - Book'!$C:$C,$B119))</f>
        <v/>
      </c>
      <c r="H119" s="11">
        <f>IF($B119="","",INDEX('Yuri - Book'!$D:$D,$B119))</f>
        <v/>
      </c>
      <c r="I119" s="11">
        <f>IF($B119="","",INDEX('Yuri - Book'!$E:$E,$B119))</f>
        <v/>
      </c>
      <c r="J119" s="11">
        <f>IF($B119="","",INDEX('Yuri - Book'!$F:$F,$B119))</f>
        <v/>
      </c>
      <c r="K119" s="11">
        <f>IF($B119="","",INDEX('Yuri - Book'!$K:$K,$B119))</f>
        <v/>
      </c>
      <c r="L119" s="13">
        <f>IF($B119="","",ROUND(INDEX('Yuri - Book'!$Q:$Q,$B119),0))</f>
        <v/>
      </c>
      <c r="M119" s="11">
        <f>IF($B119="","",INDEX('Yuri - Book'!$P:$P,$B119))</f>
        <v/>
      </c>
    </row>
    <row r="120">
      <c r="A120" s="11" t="b">
        <v>0</v>
      </c>
      <c r="B120" s="11">
        <f>IFERROR(MATCH(53,'Yuri - Book'!$V$4:$V$203,0)+4-1,"")</f>
        <v/>
      </c>
      <c r="C120" s="11">
        <f>IF($B120="","",INDEX('Yuri - Book'!$A:$A,$B120))</f>
        <v/>
      </c>
      <c r="D120" s="11">
        <f>IF($B120="","",INDEX('Yuri - Book'!$B:$B,$B120))</f>
        <v/>
      </c>
      <c r="E120" s="12">
        <f>IF($B120="","",INDEX('Yuri - Book'!$J:$J,$B120))</f>
        <v/>
      </c>
      <c r="F120" s="11">
        <f>IF($B120="","","Yuri")</f>
        <v/>
      </c>
      <c r="G120" s="11">
        <f>IF($B120="","",INDEX('Yuri - Book'!$C:$C,$B120))</f>
        <v/>
      </c>
      <c r="H120" s="11">
        <f>IF($B120="","",INDEX('Yuri - Book'!$D:$D,$B120))</f>
        <v/>
      </c>
      <c r="I120" s="11">
        <f>IF($B120="","",INDEX('Yuri - Book'!$E:$E,$B120))</f>
        <v/>
      </c>
      <c r="J120" s="11">
        <f>IF($B120="","",INDEX('Yuri - Book'!$F:$F,$B120))</f>
        <v/>
      </c>
      <c r="K120" s="11">
        <f>IF($B120="","",INDEX('Yuri - Book'!$K:$K,$B120))</f>
        <v/>
      </c>
      <c r="L120" s="13">
        <f>IF($B120="","",ROUND(INDEX('Yuri - Book'!$Q:$Q,$B120),0))</f>
        <v/>
      </c>
      <c r="M120" s="11">
        <f>IF($B120="","",INDEX('Yuri - Book'!$P:$P,$B120))</f>
        <v/>
      </c>
    </row>
    <row r="121">
      <c r="A121" s="11" t="b">
        <v>0</v>
      </c>
      <c r="B121" s="11">
        <f>IFERROR(MATCH(54,'Yuri - Book'!$V$4:$V$203,0)+4-1,"")</f>
        <v/>
      </c>
      <c r="C121" s="11">
        <f>IF($B121="","",INDEX('Yuri - Book'!$A:$A,$B121))</f>
        <v/>
      </c>
      <c r="D121" s="11">
        <f>IF($B121="","",INDEX('Yuri - Book'!$B:$B,$B121))</f>
        <v/>
      </c>
      <c r="E121" s="12">
        <f>IF($B121="","",INDEX('Yuri - Book'!$J:$J,$B121))</f>
        <v/>
      </c>
      <c r="F121" s="11">
        <f>IF($B121="","","Yuri")</f>
        <v/>
      </c>
      <c r="G121" s="11">
        <f>IF($B121="","",INDEX('Yuri - Book'!$C:$C,$B121))</f>
        <v/>
      </c>
      <c r="H121" s="11">
        <f>IF($B121="","",INDEX('Yuri - Book'!$D:$D,$B121))</f>
        <v/>
      </c>
      <c r="I121" s="11">
        <f>IF($B121="","",INDEX('Yuri - Book'!$E:$E,$B121))</f>
        <v/>
      </c>
      <c r="J121" s="11">
        <f>IF($B121="","",INDEX('Yuri - Book'!$F:$F,$B121))</f>
        <v/>
      </c>
      <c r="K121" s="11">
        <f>IF($B121="","",INDEX('Yuri - Book'!$K:$K,$B121))</f>
        <v/>
      </c>
      <c r="L121" s="13">
        <f>IF($B121="","",ROUND(INDEX('Yuri - Book'!$Q:$Q,$B121),0))</f>
        <v/>
      </c>
      <c r="M121" s="11">
        <f>IF($B121="","",INDEX('Yuri - Book'!$P:$P,$B121))</f>
        <v/>
      </c>
    </row>
    <row r="122">
      <c r="A122" s="11" t="b">
        <v>0</v>
      </c>
      <c r="B122" s="11">
        <f>IFERROR(MATCH(55,'Yuri - Book'!$V$4:$V$203,0)+4-1,"")</f>
        <v/>
      </c>
      <c r="C122" s="11">
        <f>IF($B122="","",INDEX('Yuri - Book'!$A:$A,$B122))</f>
        <v/>
      </c>
      <c r="D122" s="11">
        <f>IF($B122="","",INDEX('Yuri - Book'!$B:$B,$B122))</f>
        <v/>
      </c>
      <c r="E122" s="12">
        <f>IF($B122="","",INDEX('Yuri - Book'!$J:$J,$B122))</f>
        <v/>
      </c>
      <c r="F122" s="11">
        <f>IF($B122="","","Yuri")</f>
        <v/>
      </c>
      <c r="G122" s="11">
        <f>IF($B122="","",INDEX('Yuri - Book'!$C:$C,$B122))</f>
        <v/>
      </c>
      <c r="H122" s="11">
        <f>IF($B122="","",INDEX('Yuri - Book'!$D:$D,$B122))</f>
        <v/>
      </c>
      <c r="I122" s="11">
        <f>IF($B122="","",INDEX('Yuri - Book'!$E:$E,$B122))</f>
        <v/>
      </c>
      <c r="J122" s="11">
        <f>IF($B122="","",INDEX('Yuri - Book'!$F:$F,$B122))</f>
        <v/>
      </c>
      <c r="K122" s="11">
        <f>IF($B122="","",INDEX('Yuri - Book'!$K:$K,$B122))</f>
        <v/>
      </c>
      <c r="L122" s="13">
        <f>IF($B122="","",ROUND(INDEX('Yuri - Book'!$Q:$Q,$B122),0))</f>
        <v/>
      </c>
      <c r="M122" s="11">
        <f>IF($B122="","",INDEX('Yuri - Book'!$P:$P,$B122))</f>
        <v/>
      </c>
    </row>
    <row r="123">
      <c r="A123" s="11" t="b">
        <v>0</v>
      </c>
      <c r="B123" s="11">
        <f>IFERROR(MATCH(56,'Yuri - Book'!$V$4:$V$203,0)+4-1,"")</f>
        <v/>
      </c>
      <c r="C123" s="11">
        <f>IF($B123="","",INDEX('Yuri - Book'!$A:$A,$B123))</f>
        <v/>
      </c>
      <c r="D123" s="11">
        <f>IF($B123="","",INDEX('Yuri - Book'!$B:$B,$B123))</f>
        <v/>
      </c>
      <c r="E123" s="12">
        <f>IF($B123="","",INDEX('Yuri - Book'!$J:$J,$B123))</f>
        <v/>
      </c>
      <c r="F123" s="11">
        <f>IF($B123="","","Yuri")</f>
        <v/>
      </c>
      <c r="G123" s="11">
        <f>IF($B123="","",INDEX('Yuri - Book'!$C:$C,$B123))</f>
        <v/>
      </c>
      <c r="H123" s="11">
        <f>IF($B123="","",INDEX('Yuri - Book'!$D:$D,$B123))</f>
        <v/>
      </c>
      <c r="I123" s="11">
        <f>IF($B123="","",INDEX('Yuri - Book'!$E:$E,$B123))</f>
        <v/>
      </c>
      <c r="J123" s="11">
        <f>IF($B123="","",INDEX('Yuri - Book'!$F:$F,$B123))</f>
        <v/>
      </c>
      <c r="K123" s="11">
        <f>IF($B123="","",INDEX('Yuri - Book'!$K:$K,$B123))</f>
        <v/>
      </c>
      <c r="L123" s="13">
        <f>IF($B123="","",ROUND(INDEX('Yuri - Book'!$Q:$Q,$B123),0))</f>
        <v/>
      </c>
      <c r="M123" s="11">
        <f>IF($B123="","",INDEX('Yuri - Book'!$P:$P,$B123))</f>
        <v/>
      </c>
    </row>
    <row r="124">
      <c r="A124" s="11" t="b">
        <v>0</v>
      </c>
      <c r="B124" s="11">
        <f>IFERROR(MATCH(57,'Yuri - Book'!$V$4:$V$203,0)+4-1,"")</f>
        <v/>
      </c>
      <c r="C124" s="11">
        <f>IF($B124="","",INDEX('Yuri - Book'!$A:$A,$B124))</f>
        <v/>
      </c>
      <c r="D124" s="11">
        <f>IF($B124="","",INDEX('Yuri - Book'!$B:$B,$B124))</f>
        <v/>
      </c>
      <c r="E124" s="12">
        <f>IF($B124="","",INDEX('Yuri - Book'!$J:$J,$B124))</f>
        <v/>
      </c>
      <c r="F124" s="11">
        <f>IF($B124="","","Yuri")</f>
        <v/>
      </c>
      <c r="G124" s="11">
        <f>IF($B124="","",INDEX('Yuri - Book'!$C:$C,$B124))</f>
        <v/>
      </c>
      <c r="H124" s="11">
        <f>IF($B124="","",INDEX('Yuri - Book'!$D:$D,$B124))</f>
        <v/>
      </c>
      <c r="I124" s="11">
        <f>IF($B124="","",INDEX('Yuri - Book'!$E:$E,$B124))</f>
        <v/>
      </c>
      <c r="J124" s="11">
        <f>IF($B124="","",INDEX('Yuri - Book'!$F:$F,$B124))</f>
        <v/>
      </c>
      <c r="K124" s="11">
        <f>IF($B124="","",INDEX('Yuri - Book'!$K:$K,$B124))</f>
        <v/>
      </c>
      <c r="L124" s="13">
        <f>IF($B124="","",ROUND(INDEX('Yuri - Book'!$Q:$Q,$B124),0))</f>
        <v/>
      </c>
      <c r="M124" s="11">
        <f>IF($B124="","",INDEX('Yuri - Book'!$P:$P,$B124))</f>
        <v/>
      </c>
    </row>
    <row r="125">
      <c r="A125" s="11" t="b">
        <v>0</v>
      </c>
      <c r="B125" s="11">
        <f>IFERROR(MATCH(58,'Yuri - Book'!$V$4:$V$203,0)+4-1,"")</f>
        <v/>
      </c>
      <c r="C125" s="11">
        <f>IF($B125="","",INDEX('Yuri - Book'!$A:$A,$B125))</f>
        <v/>
      </c>
      <c r="D125" s="11">
        <f>IF($B125="","",INDEX('Yuri - Book'!$B:$B,$B125))</f>
        <v/>
      </c>
      <c r="E125" s="12">
        <f>IF($B125="","",INDEX('Yuri - Book'!$J:$J,$B125))</f>
        <v/>
      </c>
      <c r="F125" s="11">
        <f>IF($B125="","","Yuri")</f>
        <v/>
      </c>
      <c r="G125" s="11">
        <f>IF($B125="","",INDEX('Yuri - Book'!$C:$C,$B125))</f>
        <v/>
      </c>
      <c r="H125" s="11">
        <f>IF($B125="","",INDEX('Yuri - Book'!$D:$D,$B125))</f>
        <v/>
      </c>
      <c r="I125" s="11">
        <f>IF($B125="","",INDEX('Yuri - Book'!$E:$E,$B125))</f>
        <v/>
      </c>
      <c r="J125" s="11">
        <f>IF($B125="","",INDEX('Yuri - Book'!$F:$F,$B125))</f>
        <v/>
      </c>
      <c r="K125" s="11">
        <f>IF($B125="","",INDEX('Yuri - Book'!$K:$K,$B125))</f>
        <v/>
      </c>
      <c r="L125" s="13">
        <f>IF($B125="","",ROUND(INDEX('Yuri - Book'!$Q:$Q,$B125),0))</f>
        <v/>
      </c>
      <c r="M125" s="11">
        <f>IF($B125="","",INDEX('Yuri - Book'!$P:$P,$B125))</f>
        <v/>
      </c>
    </row>
    <row r="126">
      <c r="A126" s="11" t="b">
        <v>0</v>
      </c>
      <c r="B126" s="11">
        <f>IFERROR(MATCH(59,'Yuri - Book'!$V$4:$V$203,0)+4-1,"")</f>
        <v/>
      </c>
      <c r="C126" s="11">
        <f>IF($B126="","",INDEX('Yuri - Book'!$A:$A,$B126))</f>
        <v/>
      </c>
      <c r="D126" s="11">
        <f>IF($B126="","",INDEX('Yuri - Book'!$B:$B,$B126))</f>
        <v/>
      </c>
      <c r="E126" s="12">
        <f>IF($B126="","",INDEX('Yuri - Book'!$J:$J,$B126))</f>
        <v/>
      </c>
      <c r="F126" s="11">
        <f>IF($B126="","","Yuri")</f>
        <v/>
      </c>
      <c r="G126" s="11">
        <f>IF($B126="","",INDEX('Yuri - Book'!$C:$C,$B126))</f>
        <v/>
      </c>
      <c r="H126" s="11">
        <f>IF($B126="","",INDEX('Yuri - Book'!$D:$D,$B126))</f>
        <v/>
      </c>
      <c r="I126" s="11">
        <f>IF($B126="","",INDEX('Yuri - Book'!$E:$E,$B126))</f>
        <v/>
      </c>
      <c r="J126" s="11">
        <f>IF($B126="","",INDEX('Yuri - Book'!$F:$F,$B126))</f>
        <v/>
      </c>
      <c r="K126" s="11">
        <f>IF($B126="","",INDEX('Yuri - Book'!$K:$K,$B126))</f>
        <v/>
      </c>
      <c r="L126" s="13">
        <f>IF($B126="","",ROUND(INDEX('Yuri - Book'!$Q:$Q,$B126),0))</f>
        <v/>
      </c>
      <c r="M126" s="11">
        <f>IF($B126="","",INDEX('Yuri - Book'!$P:$P,$B126))</f>
        <v/>
      </c>
    </row>
    <row r="127">
      <c r="A127" s="11" t="b">
        <v>0</v>
      </c>
      <c r="B127" s="11">
        <f>IFERROR(MATCH(60,'Yuri - Book'!$V$4:$V$203,0)+4-1,"")</f>
        <v/>
      </c>
      <c r="C127" s="11">
        <f>IF($B127="","",INDEX('Yuri - Book'!$A:$A,$B127))</f>
        <v/>
      </c>
      <c r="D127" s="11">
        <f>IF($B127="","",INDEX('Yuri - Book'!$B:$B,$B127))</f>
        <v/>
      </c>
      <c r="E127" s="12">
        <f>IF($B127="","",INDEX('Yuri - Book'!$J:$J,$B127))</f>
        <v/>
      </c>
      <c r="F127" s="11">
        <f>IF($B127="","","Yuri")</f>
        <v/>
      </c>
      <c r="G127" s="11">
        <f>IF($B127="","",INDEX('Yuri - Book'!$C:$C,$B127))</f>
        <v/>
      </c>
      <c r="H127" s="11">
        <f>IF($B127="","",INDEX('Yuri - Book'!$D:$D,$B127))</f>
        <v/>
      </c>
      <c r="I127" s="11">
        <f>IF($B127="","",INDEX('Yuri - Book'!$E:$E,$B127))</f>
        <v/>
      </c>
      <c r="J127" s="11">
        <f>IF($B127="","",INDEX('Yuri - Book'!$F:$F,$B127))</f>
        <v/>
      </c>
      <c r="K127" s="11">
        <f>IF($B127="","",INDEX('Yuri - Book'!$K:$K,$B127))</f>
        <v/>
      </c>
      <c r="L127" s="13">
        <f>IF($B127="","",ROUND(INDEX('Yuri - Book'!$Q:$Q,$B127),0))</f>
        <v/>
      </c>
      <c r="M127" s="11">
        <f>IF($B127="","",INDEX('Yuri - Book'!$P:$P,$B127))</f>
        <v/>
      </c>
    </row>
    <row r="128">
      <c r="A128" s="11" t="b">
        <v>0</v>
      </c>
      <c r="B128" s="11">
        <f>IFERROR(MATCH(61,'Yuri - Book'!$V$4:$V$203,0)+4-1,"")</f>
        <v/>
      </c>
      <c r="C128" s="11">
        <f>IF($B128="","",INDEX('Yuri - Book'!$A:$A,$B128))</f>
        <v/>
      </c>
      <c r="D128" s="11">
        <f>IF($B128="","",INDEX('Yuri - Book'!$B:$B,$B128))</f>
        <v/>
      </c>
      <c r="E128" s="12">
        <f>IF($B128="","",INDEX('Yuri - Book'!$J:$J,$B128))</f>
        <v/>
      </c>
      <c r="F128" s="11">
        <f>IF($B128="","","Yuri")</f>
        <v/>
      </c>
      <c r="G128" s="11">
        <f>IF($B128="","",INDEX('Yuri - Book'!$C:$C,$B128))</f>
        <v/>
      </c>
      <c r="H128" s="11">
        <f>IF($B128="","",INDEX('Yuri - Book'!$D:$D,$B128))</f>
        <v/>
      </c>
      <c r="I128" s="11">
        <f>IF($B128="","",INDEX('Yuri - Book'!$E:$E,$B128))</f>
        <v/>
      </c>
      <c r="J128" s="11">
        <f>IF($B128="","",INDEX('Yuri - Book'!$F:$F,$B128))</f>
        <v/>
      </c>
      <c r="K128" s="11">
        <f>IF($B128="","",INDEX('Yuri - Book'!$K:$K,$B128))</f>
        <v/>
      </c>
      <c r="L128" s="13">
        <f>IF($B128="","",ROUND(INDEX('Yuri - Book'!$Q:$Q,$B128),0))</f>
        <v/>
      </c>
      <c r="M128" s="11">
        <f>IF($B128="","",INDEX('Yuri - Book'!$P:$P,$B128))</f>
        <v/>
      </c>
    </row>
    <row r="129">
      <c r="A129" s="11" t="b">
        <v>0</v>
      </c>
      <c r="B129" s="11">
        <f>IFERROR(MATCH(62,'Yuri - Book'!$V$4:$V$203,0)+4-1,"")</f>
        <v/>
      </c>
      <c r="C129" s="11">
        <f>IF($B129="","",INDEX('Yuri - Book'!$A:$A,$B129))</f>
        <v/>
      </c>
      <c r="D129" s="11">
        <f>IF($B129="","",INDEX('Yuri - Book'!$B:$B,$B129))</f>
        <v/>
      </c>
      <c r="E129" s="12">
        <f>IF($B129="","",INDEX('Yuri - Book'!$J:$J,$B129))</f>
        <v/>
      </c>
      <c r="F129" s="11">
        <f>IF($B129="","","Yuri")</f>
        <v/>
      </c>
      <c r="G129" s="11">
        <f>IF($B129="","",INDEX('Yuri - Book'!$C:$C,$B129))</f>
        <v/>
      </c>
      <c r="H129" s="11">
        <f>IF($B129="","",INDEX('Yuri - Book'!$D:$D,$B129))</f>
        <v/>
      </c>
      <c r="I129" s="11">
        <f>IF($B129="","",INDEX('Yuri - Book'!$E:$E,$B129))</f>
        <v/>
      </c>
      <c r="J129" s="11">
        <f>IF($B129="","",INDEX('Yuri - Book'!$F:$F,$B129))</f>
        <v/>
      </c>
      <c r="K129" s="11">
        <f>IF($B129="","",INDEX('Yuri - Book'!$K:$K,$B129))</f>
        <v/>
      </c>
      <c r="L129" s="13">
        <f>IF($B129="","",ROUND(INDEX('Yuri - Book'!$Q:$Q,$B129),0))</f>
        <v/>
      </c>
      <c r="M129" s="11">
        <f>IF($B129="","",INDEX('Yuri - Book'!$P:$P,$B129))</f>
        <v/>
      </c>
    </row>
    <row r="130">
      <c r="A130" s="11" t="b">
        <v>0</v>
      </c>
      <c r="B130" s="11">
        <f>IFERROR(MATCH(63,'Yuri - Book'!$V$4:$V$203,0)+4-1,"")</f>
        <v/>
      </c>
      <c r="C130" s="11">
        <f>IF($B130="","",INDEX('Yuri - Book'!$A:$A,$B130))</f>
        <v/>
      </c>
      <c r="D130" s="11">
        <f>IF($B130="","",INDEX('Yuri - Book'!$B:$B,$B130))</f>
        <v/>
      </c>
      <c r="E130" s="12">
        <f>IF($B130="","",INDEX('Yuri - Book'!$J:$J,$B130))</f>
        <v/>
      </c>
      <c r="F130" s="11">
        <f>IF($B130="","","Yuri")</f>
        <v/>
      </c>
      <c r="G130" s="11">
        <f>IF($B130="","",INDEX('Yuri - Book'!$C:$C,$B130))</f>
        <v/>
      </c>
      <c r="H130" s="11">
        <f>IF($B130="","",INDEX('Yuri - Book'!$D:$D,$B130))</f>
        <v/>
      </c>
      <c r="I130" s="11">
        <f>IF($B130="","",INDEX('Yuri - Book'!$E:$E,$B130))</f>
        <v/>
      </c>
      <c r="J130" s="11">
        <f>IF($B130="","",INDEX('Yuri - Book'!$F:$F,$B130))</f>
        <v/>
      </c>
      <c r="K130" s="11">
        <f>IF($B130="","",INDEX('Yuri - Book'!$K:$K,$B130))</f>
        <v/>
      </c>
      <c r="L130" s="13">
        <f>IF($B130="","",ROUND(INDEX('Yuri - Book'!$Q:$Q,$B130),0))</f>
        <v/>
      </c>
      <c r="M130" s="11">
        <f>IF($B130="","",INDEX('Yuri - Book'!$P:$P,$B130))</f>
        <v/>
      </c>
    </row>
    <row r="131">
      <c r="A131" s="11" t="b">
        <v>0</v>
      </c>
      <c r="B131" s="11">
        <f>IFERROR(MATCH(64,'Yuri - Book'!$V$4:$V$203,0)+4-1,"")</f>
        <v/>
      </c>
      <c r="C131" s="11">
        <f>IF($B131="","",INDEX('Yuri - Book'!$A:$A,$B131))</f>
        <v/>
      </c>
      <c r="D131" s="11">
        <f>IF($B131="","",INDEX('Yuri - Book'!$B:$B,$B131))</f>
        <v/>
      </c>
      <c r="E131" s="12">
        <f>IF($B131="","",INDEX('Yuri - Book'!$J:$J,$B131))</f>
        <v/>
      </c>
      <c r="F131" s="11">
        <f>IF($B131="","","Yuri")</f>
        <v/>
      </c>
      <c r="G131" s="11">
        <f>IF($B131="","",INDEX('Yuri - Book'!$C:$C,$B131))</f>
        <v/>
      </c>
      <c r="H131" s="11">
        <f>IF($B131="","",INDEX('Yuri - Book'!$D:$D,$B131))</f>
        <v/>
      </c>
      <c r="I131" s="11">
        <f>IF($B131="","",INDEX('Yuri - Book'!$E:$E,$B131))</f>
        <v/>
      </c>
      <c r="J131" s="11">
        <f>IF($B131="","",INDEX('Yuri - Book'!$F:$F,$B131))</f>
        <v/>
      </c>
      <c r="K131" s="11">
        <f>IF($B131="","",INDEX('Yuri - Book'!$K:$K,$B131))</f>
        <v/>
      </c>
      <c r="L131" s="13">
        <f>IF($B131="","",ROUND(INDEX('Yuri - Book'!$Q:$Q,$B131),0))</f>
        <v/>
      </c>
      <c r="M131" s="11">
        <f>IF($B131="","",INDEX('Yuri - Book'!$P:$P,$B131))</f>
        <v/>
      </c>
    </row>
    <row r="132">
      <c r="A132" s="11" t="b">
        <v>0</v>
      </c>
      <c r="B132" s="11">
        <f>IFERROR(MATCH(65,'Yuri - Book'!$V$4:$V$203,0)+4-1,"")</f>
        <v/>
      </c>
      <c r="C132" s="11">
        <f>IF($B132="","",INDEX('Yuri - Book'!$A:$A,$B132))</f>
        <v/>
      </c>
      <c r="D132" s="11">
        <f>IF($B132="","",INDEX('Yuri - Book'!$B:$B,$B132))</f>
        <v/>
      </c>
      <c r="E132" s="12">
        <f>IF($B132="","",INDEX('Yuri - Book'!$J:$J,$B132))</f>
        <v/>
      </c>
      <c r="F132" s="11">
        <f>IF($B132="","","Yuri")</f>
        <v/>
      </c>
      <c r="G132" s="11">
        <f>IF($B132="","",INDEX('Yuri - Book'!$C:$C,$B132))</f>
        <v/>
      </c>
      <c r="H132" s="11">
        <f>IF($B132="","",INDEX('Yuri - Book'!$D:$D,$B132))</f>
        <v/>
      </c>
      <c r="I132" s="11">
        <f>IF($B132="","",INDEX('Yuri - Book'!$E:$E,$B132))</f>
        <v/>
      </c>
      <c r="J132" s="11">
        <f>IF($B132="","",INDEX('Yuri - Book'!$F:$F,$B132))</f>
        <v/>
      </c>
      <c r="K132" s="11">
        <f>IF($B132="","",INDEX('Yuri - Book'!$K:$K,$B132))</f>
        <v/>
      </c>
      <c r="L132" s="13">
        <f>IF($B132="","",ROUND(INDEX('Yuri - Book'!$Q:$Q,$B132),0))</f>
        <v/>
      </c>
      <c r="M132" s="11">
        <f>IF($B132="","",INDEX('Yuri - Book'!$P:$P,$B132))</f>
        <v/>
      </c>
    </row>
    <row r="133">
      <c r="A133" s="11" t="b">
        <v>0</v>
      </c>
      <c r="B133" s="11">
        <f>IFERROR(MATCH(66,'Yuri - Book'!$V$4:$V$203,0)+4-1,"")</f>
        <v/>
      </c>
      <c r="C133" s="11">
        <f>IF($B133="","",INDEX('Yuri - Book'!$A:$A,$B133))</f>
        <v/>
      </c>
      <c r="D133" s="11">
        <f>IF($B133="","",INDEX('Yuri - Book'!$B:$B,$B133))</f>
        <v/>
      </c>
      <c r="E133" s="12">
        <f>IF($B133="","",INDEX('Yuri - Book'!$J:$J,$B133))</f>
        <v/>
      </c>
      <c r="F133" s="11">
        <f>IF($B133="","","Yuri")</f>
        <v/>
      </c>
      <c r="G133" s="11">
        <f>IF($B133="","",INDEX('Yuri - Book'!$C:$C,$B133))</f>
        <v/>
      </c>
      <c r="H133" s="11">
        <f>IF($B133="","",INDEX('Yuri - Book'!$D:$D,$B133))</f>
        <v/>
      </c>
      <c r="I133" s="11">
        <f>IF($B133="","",INDEX('Yuri - Book'!$E:$E,$B133))</f>
        <v/>
      </c>
      <c r="J133" s="11">
        <f>IF($B133="","",INDEX('Yuri - Book'!$F:$F,$B133))</f>
        <v/>
      </c>
      <c r="K133" s="11">
        <f>IF($B133="","",INDEX('Yuri - Book'!$K:$K,$B133))</f>
        <v/>
      </c>
      <c r="L133" s="13">
        <f>IF($B133="","",ROUND(INDEX('Yuri - Book'!$Q:$Q,$B133),0))</f>
        <v/>
      </c>
      <c r="M133" s="11">
        <f>IF($B133="","",INDEX('Yuri - Book'!$P:$P,$B133))</f>
        <v/>
      </c>
    </row>
    <row r="134">
      <c r="A134" s="11" t="b">
        <v>0</v>
      </c>
      <c r="B134" s="11">
        <f>IFERROR(MATCH(67,'Yuri - Book'!$V$4:$V$203,0)+4-1,"")</f>
        <v/>
      </c>
      <c r="C134" s="11">
        <f>IF($B134="","",INDEX('Yuri - Book'!$A:$A,$B134))</f>
        <v/>
      </c>
      <c r="D134" s="11">
        <f>IF($B134="","",INDEX('Yuri - Book'!$B:$B,$B134))</f>
        <v/>
      </c>
      <c r="E134" s="12">
        <f>IF($B134="","",INDEX('Yuri - Book'!$J:$J,$B134))</f>
        <v/>
      </c>
      <c r="F134" s="11">
        <f>IF($B134="","","Yuri")</f>
        <v/>
      </c>
      <c r="G134" s="11">
        <f>IF($B134="","",INDEX('Yuri - Book'!$C:$C,$B134))</f>
        <v/>
      </c>
      <c r="H134" s="11">
        <f>IF($B134="","",INDEX('Yuri - Book'!$D:$D,$B134))</f>
        <v/>
      </c>
      <c r="I134" s="11">
        <f>IF($B134="","",INDEX('Yuri - Book'!$E:$E,$B134))</f>
        <v/>
      </c>
      <c r="J134" s="11">
        <f>IF($B134="","",INDEX('Yuri - Book'!$F:$F,$B134))</f>
        <v/>
      </c>
      <c r="K134" s="11">
        <f>IF($B134="","",INDEX('Yuri - Book'!$K:$K,$B134))</f>
        <v/>
      </c>
      <c r="L134" s="13">
        <f>IF($B134="","",ROUND(INDEX('Yuri - Book'!$Q:$Q,$B134),0))</f>
        <v/>
      </c>
      <c r="M134" s="11">
        <f>IF($B134="","",INDEX('Yuri - Book'!$P:$P,$B134))</f>
        <v/>
      </c>
    </row>
    <row r="135">
      <c r="A135" s="11" t="b">
        <v>0</v>
      </c>
      <c r="B135" s="11">
        <f>IFERROR(MATCH(68,'Yuri - Book'!$V$4:$V$203,0)+4-1,"")</f>
        <v/>
      </c>
      <c r="C135" s="11">
        <f>IF($B135="","",INDEX('Yuri - Book'!$A:$A,$B135))</f>
        <v/>
      </c>
      <c r="D135" s="11">
        <f>IF($B135="","",INDEX('Yuri - Book'!$B:$B,$B135))</f>
        <v/>
      </c>
      <c r="E135" s="12">
        <f>IF($B135="","",INDEX('Yuri - Book'!$J:$J,$B135))</f>
        <v/>
      </c>
      <c r="F135" s="11">
        <f>IF($B135="","","Yuri")</f>
        <v/>
      </c>
      <c r="G135" s="11">
        <f>IF($B135="","",INDEX('Yuri - Book'!$C:$C,$B135))</f>
        <v/>
      </c>
      <c r="H135" s="11">
        <f>IF($B135="","",INDEX('Yuri - Book'!$D:$D,$B135))</f>
        <v/>
      </c>
      <c r="I135" s="11">
        <f>IF($B135="","",INDEX('Yuri - Book'!$E:$E,$B135))</f>
        <v/>
      </c>
      <c r="J135" s="11">
        <f>IF($B135="","",INDEX('Yuri - Book'!$F:$F,$B135))</f>
        <v/>
      </c>
      <c r="K135" s="11">
        <f>IF($B135="","",INDEX('Yuri - Book'!$K:$K,$B135))</f>
        <v/>
      </c>
      <c r="L135" s="13">
        <f>IF($B135="","",ROUND(INDEX('Yuri - Book'!$Q:$Q,$B135),0))</f>
        <v/>
      </c>
      <c r="M135" s="11">
        <f>IF($B135="","",INDEX('Yuri - Book'!$P:$P,$B135))</f>
        <v/>
      </c>
    </row>
    <row r="136">
      <c r="A136" s="11" t="b">
        <v>0</v>
      </c>
      <c r="B136" s="11">
        <f>IFERROR(MATCH(69,'Yuri - Book'!$V$4:$V$203,0)+4-1,"")</f>
        <v/>
      </c>
      <c r="C136" s="11">
        <f>IF($B136="","",INDEX('Yuri - Book'!$A:$A,$B136))</f>
        <v/>
      </c>
      <c r="D136" s="11">
        <f>IF($B136="","",INDEX('Yuri - Book'!$B:$B,$B136))</f>
        <v/>
      </c>
      <c r="E136" s="12">
        <f>IF($B136="","",INDEX('Yuri - Book'!$J:$J,$B136))</f>
        <v/>
      </c>
      <c r="F136" s="11">
        <f>IF($B136="","","Yuri")</f>
        <v/>
      </c>
      <c r="G136" s="11">
        <f>IF($B136="","",INDEX('Yuri - Book'!$C:$C,$B136))</f>
        <v/>
      </c>
      <c r="H136" s="11">
        <f>IF($B136="","",INDEX('Yuri - Book'!$D:$D,$B136))</f>
        <v/>
      </c>
      <c r="I136" s="11">
        <f>IF($B136="","",INDEX('Yuri - Book'!$E:$E,$B136))</f>
        <v/>
      </c>
      <c r="J136" s="11">
        <f>IF($B136="","",INDEX('Yuri - Book'!$F:$F,$B136))</f>
        <v/>
      </c>
      <c r="K136" s="11">
        <f>IF($B136="","",INDEX('Yuri - Book'!$K:$K,$B136))</f>
        <v/>
      </c>
      <c r="L136" s="13">
        <f>IF($B136="","",ROUND(INDEX('Yuri - Book'!$Q:$Q,$B136),0))</f>
        <v/>
      </c>
      <c r="M136" s="11">
        <f>IF($B136="","",INDEX('Yuri - Book'!$P:$P,$B136))</f>
        <v/>
      </c>
    </row>
    <row r="137">
      <c r="A137" s="11" t="b">
        <v>0</v>
      </c>
      <c r="B137" s="11">
        <f>IFERROR(MATCH(70,'Yuri - Book'!$V$4:$V$203,0)+4-1,"")</f>
        <v/>
      </c>
      <c r="C137" s="11">
        <f>IF($B137="","",INDEX('Yuri - Book'!$A:$A,$B137))</f>
        <v/>
      </c>
      <c r="D137" s="11">
        <f>IF($B137="","",INDEX('Yuri - Book'!$B:$B,$B137))</f>
        <v/>
      </c>
      <c r="E137" s="12">
        <f>IF($B137="","",INDEX('Yuri - Book'!$J:$J,$B137))</f>
        <v/>
      </c>
      <c r="F137" s="11">
        <f>IF($B137="","","Yuri")</f>
        <v/>
      </c>
      <c r="G137" s="11">
        <f>IF($B137="","",INDEX('Yuri - Book'!$C:$C,$B137))</f>
        <v/>
      </c>
      <c r="H137" s="11">
        <f>IF($B137="","",INDEX('Yuri - Book'!$D:$D,$B137))</f>
        <v/>
      </c>
      <c r="I137" s="11">
        <f>IF($B137="","",INDEX('Yuri - Book'!$E:$E,$B137))</f>
        <v/>
      </c>
      <c r="J137" s="11">
        <f>IF($B137="","",INDEX('Yuri - Book'!$F:$F,$B137))</f>
        <v/>
      </c>
      <c r="K137" s="11">
        <f>IF($B137="","",INDEX('Yuri - Book'!$K:$K,$B137))</f>
        <v/>
      </c>
      <c r="L137" s="13">
        <f>IF($B137="","",ROUND(INDEX('Yuri - Book'!$Q:$Q,$B137),0))</f>
        <v/>
      </c>
      <c r="M137" s="11">
        <f>IF($B137="","",INDEX('Yuri - Book'!$P:$P,$B137))</f>
        <v/>
      </c>
    </row>
    <row r="138">
      <c r="A138" s="11" t="b">
        <v>0</v>
      </c>
      <c r="B138" s="11">
        <f>IFERROR(MATCH(71,'Yuri - Book'!$V$4:$V$203,0)+4-1,"")</f>
        <v/>
      </c>
      <c r="C138" s="11">
        <f>IF($B138="","",INDEX('Yuri - Book'!$A:$A,$B138))</f>
        <v/>
      </c>
      <c r="D138" s="11">
        <f>IF($B138="","",INDEX('Yuri - Book'!$B:$B,$B138))</f>
        <v/>
      </c>
      <c r="E138" s="12">
        <f>IF($B138="","",INDEX('Yuri - Book'!$J:$J,$B138))</f>
        <v/>
      </c>
      <c r="F138" s="11">
        <f>IF($B138="","","Yuri")</f>
        <v/>
      </c>
      <c r="G138" s="11">
        <f>IF($B138="","",INDEX('Yuri - Book'!$C:$C,$B138))</f>
        <v/>
      </c>
      <c r="H138" s="11">
        <f>IF($B138="","",INDEX('Yuri - Book'!$D:$D,$B138))</f>
        <v/>
      </c>
      <c r="I138" s="11">
        <f>IF($B138="","",INDEX('Yuri - Book'!$E:$E,$B138))</f>
        <v/>
      </c>
      <c r="J138" s="11">
        <f>IF($B138="","",INDEX('Yuri - Book'!$F:$F,$B138))</f>
        <v/>
      </c>
      <c r="K138" s="11">
        <f>IF($B138="","",INDEX('Yuri - Book'!$K:$K,$B138))</f>
        <v/>
      </c>
      <c r="L138" s="13">
        <f>IF($B138="","",ROUND(INDEX('Yuri - Book'!$Q:$Q,$B138),0))</f>
        <v/>
      </c>
      <c r="M138" s="11">
        <f>IF($B138="","",INDEX('Yuri - Book'!$P:$P,$B138))</f>
        <v/>
      </c>
    </row>
    <row r="139">
      <c r="A139" s="11" t="b">
        <v>0</v>
      </c>
      <c r="B139" s="11">
        <f>IFERROR(MATCH(72,'Yuri - Book'!$V$4:$V$203,0)+4-1,"")</f>
        <v/>
      </c>
      <c r="C139" s="11">
        <f>IF($B139="","",INDEX('Yuri - Book'!$A:$A,$B139))</f>
        <v/>
      </c>
      <c r="D139" s="11">
        <f>IF($B139="","",INDEX('Yuri - Book'!$B:$B,$B139))</f>
        <v/>
      </c>
      <c r="E139" s="12">
        <f>IF($B139="","",INDEX('Yuri - Book'!$J:$J,$B139))</f>
        <v/>
      </c>
      <c r="F139" s="11">
        <f>IF($B139="","","Yuri")</f>
        <v/>
      </c>
      <c r="G139" s="11">
        <f>IF($B139="","",INDEX('Yuri - Book'!$C:$C,$B139))</f>
        <v/>
      </c>
      <c r="H139" s="11">
        <f>IF($B139="","",INDEX('Yuri - Book'!$D:$D,$B139))</f>
        <v/>
      </c>
      <c r="I139" s="11">
        <f>IF($B139="","",INDEX('Yuri - Book'!$E:$E,$B139))</f>
        <v/>
      </c>
      <c r="J139" s="11">
        <f>IF($B139="","",INDEX('Yuri - Book'!$F:$F,$B139))</f>
        <v/>
      </c>
      <c r="K139" s="11">
        <f>IF($B139="","",INDEX('Yuri - Book'!$K:$K,$B139))</f>
        <v/>
      </c>
      <c r="L139" s="13">
        <f>IF($B139="","",ROUND(INDEX('Yuri - Book'!$Q:$Q,$B139),0))</f>
        <v/>
      </c>
      <c r="M139" s="11">
        <f>IF($B139="","",INDEX('Yuri - Book'!$P:$P,$B139))</f>
        <v/>
      </c>
    </row>
    <row r="140">
      <c r="A140" s="11" t="b">
        <v>0</v>
      </c>
      <c r="B140" s="11">
        <f>IFERROR(MATCH(73,'Yuri - Book'!$V$4:$V$203,0)+4-1,"")</f>
        <v/>
      </c>
      <c r="C140" s="11">
        <f>IF($B140="","",INDEX('Yuri - Book'!$A:$A,$B140))</f>
        <v/>
      </c>
      <c r="D140" s="11">
        <f>IF($B140="","",INDEX('Yuri - Book'!$B:$B,$B140))</f>
        <v/>
      </c>
      <c r="E140" s="12">
        <f>IF($B140="","",INDEX('Yuri - Book'!$J:$J,$B140))</f>
        <v/>
      </c>
      <c r="F140" s="11">
        <f>IF($B140="","","Yuri")</f>
        <v/>
      </c>
      <c r="G140" s="11">
        <f>IF($B140="","",INDEX('Yuri - Book'!$C:$C,$B140))</f>
        <v/>
      </c>
      <c r="H140" s="11">
        <f>IF($B140="","",INDEX('Yuri - Book'!$D:$D,$B140))</f>
        <v/>
      </c>
      <c r="I140" s="11">
        <f>IF($B140="","",INDEX('Yuri - Book'!$E:$E,$B140))</f>
        <v/>
      </c>
      <c r="J140" s="11">
        <f>IF($B140="","",INDEX('Yuri - Book'!$F:$F,$B140))</f>
        <v/>
      </c>
      <c r="K140" s="11">
        <f>IF($B140="","",INDEX('Yuri - Book'!$K:$K,$B140))</f>
        <v/>
      </c>
      <c r="L140" s="13">
        <f>IF($B140="","",ROUND(INDEX('Yuri - Book'!$Q:$Q,$B140),0))</f>
        <v/>
      </c>
      <c r="M140" s="11">
        <f>IF($B140="","",INDEX('Yuri - Book'!$P:$P,$B140))</f>
        <v/>
      </c>
    </row>
    <row r="141">
      <c r="A141" s="11" t="b">
        <v>0</v>
      </c>
      <c r="B141" s="11">
        <f>IFERROR(MATCH(74,'Yuri - Book'!$V$4:$V$203,0)+4-1,"")</f>
        <v/>
      </c>
      <c r="C141" s="11">
        <f>IF($B141="","",INDEX('Yuri - Book'!$A:$A,$B141))</f>
        <v/>
      </c>
      <c r="D141" s="11">
        <f>IF($B141="","",INDEX('Yuri - Book'!$B:$B,$B141))</f>
        <v/>
      </c>
      <c r="E141" s="12">
        <f>IF($B141="","",INDEX('Yuri - Book'!$J:$J,$B141))</f>
        <v/>
      </c>
      <c r="F141" s="11">
        <f>IF($B141="","","Yuri")</f>
        <v/>
      </c>
      <c r="G141" s="11">
        <f>IF($B141="","",INDEX('Yuri - Book'!$C:$C,$B141))</f>
        <v/>
      </c>
      <c r="H141" s="11">
        <f>IF($B141="","",INDEX('Yuri - Book'!$D:$D,$B141))</f>
        <v/>
      </c>
      <c r="I141" s="11">
        <f>IF($B141="","",INDEX('Yuri - Book'!$E:$E,$B141))</f>
        <v/>
      </c>
      <c r="J141" s="11">
        <f>IF($B141="","",INDEX('Yuri - Book'!$F:$F,$B141))</f>
        <v/>
      </c>
      <c r="K141" s="11">
        <f>IF($B141="","",INDEX('Yuri - Book'!$K:$K,$B141))</f>
        <v/>
      </c>
      <c r="L141" s="13">
        <f>IF($B141="","",ROUND(INDEX('Yuri - Book'!$Q:$Q,$B141),0))</f>
        <v/>
      </c>
      <c r="M141" s="11">
        <f>IF($B141="","",INDEX('Yuri - Book'!$P:$P,$B141))</f>
        <v/>
      </c>
    </row>
    <row r="142">
      <c r="A142" s="11" t="b">
        <v>0</v>
      </c>
      <c r="B142" s="11">
        <f>IFERROR(MATCH(75,'Yuri - Book'!$V$4:$V$203,0)+4-1,"")</f>
        <v/>
      </c>
      <c r="C142" s="11">
        <f>IF($B142="","",INDEX('Yuri - Book'!$A:$A,$B142))</f>
        <v/>
      </c>
      <c r="D142" s="11">
        <f>IF($B142="","",INDEX('Yuri - Book'!$B:$B,$B142))</f>
        <v/>
      </c>
      <c r="E142" s="12">
        <f>IF($B142="","",INDEX('Yuri - Book'!$J:$J,$B142))</f>
        <v/>
      </c>
      <c r="F142" s="11">
        <f>IF($B142="","","Yuri")</f>
        <v/>
      </c>
      <c r="G142" s="11">
        <f>IF($B142="","",INDEX('Yuri - Book'!$C:$C,$B142))</f>
        <v/>
      </c>
      <c r="H142" s="11">
        <f>IF($B142="","",INDEX('Yuri - Book'!$D:$D,$B142))</f>
        <v/>
      </c>
      <c r="I142" s="11">
        <f>IF($B142="","",INDEX('Yuri - Book'!$E:$E,$B142))</f>
        <v/>
      </c>
      <c r="J142" s="11">
        <f>IF($B142="","",INDEX('Yuri - Book'!$F:$F,$B142))</f>
        <v/>
      </c>
      <c r="K142" s="11">
        <f>IF($B142="","",INDEX('Yuri - Book'!$K:$K,$B142))</f>
        <v/>
      </c>
      <c r="L142" s="13">
        <f>IF($B142="","",ROUND(INDEX('Yuri - Book'!$Q:$Q,$B142),0))</f>
        <v/>
      </c>
      <c r="M142" s="11">
        <f>IF($B142="","",INDEX('Yuri - Book'!$P:$P,$B142))</f>
        <v/>
      </c>
    </row>
    <row r="143">
      <c r="A143" s="11" t="b">
        <v>0</v>
      </c>
      <c r="B143" s="11">
        <f>IFERROR(MATCH(76,'Yuri - Book'!$V$4:$V$203,0)+4-1,"")</f>
        <v/>
      </c>
      <c r="C143" s="11">
        <f>IF($B143="","",INDEX('Yuri - Book'!$A:$A,$B143))</f>
        <v/>
      </c>
      <c r="D143" s="11">
        <f>IF($B143="","",INDEX('Yuri - Book'!$B:$B,$B143))</f>
        <v/>
      </c>
      <c r="E143" s="12">
        <f>IF($B143="","",INDEX('Yuri - Book'!$J:$J,$B143))</f>
        <v/>
      </c>
      <c r="F143" s="11">
        <f>IF($B143="","","Yuri")</f>
        <v/>
      </c>
      <c r="G143" s="11">
        <f>IF($B143="","",INDEX('Yuri - Book'!$C:$C,$B143))</f>
        <v/>
      </c>
      <c r="H143" s="11">
        <f>IF($B143="","",INDEX('Yuri - Book'!$D:$D,$B143))</f>
        <v/>
      </c>
      <c r="I143" s="11">
        <f>IF($B143="","",INDEX('Yuri - Book'!$E:$E,$B143))</f>
        <v/>
      </c>
      <c r="J143" s="11">
        <f>IF($B143="","",INDEX('Yuri - Book'!$F:$F,$B143))</f>
        <v/>
      </c>
      <c r="K143" s="11">
        <f>IF($B143="","",INDEX('Yuri - Book'!$K:$K,$B143))</f>
        <v/>
      </c>
      <c r="L143" s="13">
        <f>IF($B143="","",ROUND(INDEX('Yuri - Book'!$Q:$Q,$B143),0))</f>
        <v/>
      </c>
      <c r="M143" s="11">
        <f>IF($B143="","",INDEX('Yuri - Book'!$P:$P,$B143))</f>
        <v/>
      </c>
    </row>
    <row r="144">
      <c r="A144" s="11" t="b">
        <v>0</v>
      </c>
      <c r="B144" s="11">
        <f>IFERROR(MATCH(77,'Yuri - Book'!$V$4:$V$203,0)+4-1,"")</f>
        <v/>
      </c>
      <c r="C144" s="11">
        <f>IF($B144="","",INDEX('Yuri - Book'!$A:$A,$B144))</f>
        <v/>
      </c>
      <c r="D144" s="11">
        <f>IF($B144="","",INDEX('Yuri - Book'!$B:$B,$B144))</f>
        <v/>
      </c>
      <c r="E144" s="12">
        <f>IF($B144="","",INDEX('Yuri - Book'!$J:$J,$B144))</f>
        <v/>
      </c>
      <c r="F144" s="11">
        <f>IF($B144="","","Yuri")</f>
        <v/>
      </c>
      <c r="G144" s="11">
        <f>IF($B144="","",INDEX('Yuri - Book'!$C:$C,$B144))</f>
        <v/>
      </c>
      <c r="H144" s="11">
        <f>IF($B144="","",INDEX('Yuri - Book'!$D:$D,$B144))</f>
        <v/>
      </c>
      <c r="I144" s="11">
        <f>IF($B144="","",INDEX('Yuri - Book'!$E:$E,$B144))</f>
        <v/>
      </c>
      <c r="J144" s="11">
        <f>IF($B144="","",INDEX('Yuri - Book'!$F:$F,$B144))</f>
        <v/>
      </c>
      <c r="K144" s="11">
        <f>IF($B144="","",INDEX('Yuri - Book'!$K:$K,$B144))</f>
        <v/>
      </c>
      <c r="L144" s="13">
        <f>IF($B144="","",ROUND(INDEX('Yuri - Book'!$Q:$Q,$B144),0))</f>
        <v/>
      </c>
      <c r="M144" s="11">
        <f>IF($B144="","",INDEX('Yuri - Book'!$P:$P,$B144))</f>
        <v/>
      </c>
    </row>
    <row r="145">
      <c r="A145" s="11" t="b">
        <v>0</v>
      </c>
      <c r="B145" s="11">
        <f>IFERROR(MATCH(78,'Yuri - Book'!$V$4:$V$203,0)+4-1,"")</f>
        <v/>
      </c>
      <c r="C145" s="11">
        <f>IF($B145="","",INDEX('Yuri - Book'!$A:$A,$B145))</f>
        <v/>
      </c>
      <c r="D145" s="11">
        <f>IF($B145="","",INDEX('Yuri - Book'!$B:$B,$B145))</f>
        <v/>
      </c>
      <c r="E145" s="12">
        <f>IF($B145="","",INDEX('Yuri - Book'!$J:$J,$B145))</f>
        <v/>
      </c>
      <c r="F145" s="11">
        <f>IF($B145="","","Yuri")</f>
        <v/>
      </c>
      <c r="G145" s="11">
        <f>IF($B145="","",INDEX('Yuri - Book'!$C:$C,$B145))</f>
        <v/>
      </c>
      <c r="H145" s="11">
        <f>IF($B145="","",INDEX('Yuri - Book'!$D:$D,$B145))</f>
        <v/>
      </c>
      <c r="I145" s="11">
        <f>IF($B145="","",INDEX('Yuri - Book'!$E:$E,$B145))</f>
        <v/>
      </c>
      <c r="J145" s="11">
        <f>IF($B145="","",INDEX('Yuri - Book'!$F:$F,$B145))</f>
        <v/>
      </c>
      <c r="K145" s="11">
        <f>IF($B145="","",INDEX('Yuri - Book'!$K:$K,$B145))</f>
        <v/>
      </c>
      <c r="L145" s="13">
        <f>IF($B145="","",ROUND(INDEX('Yuri - Book'!$Q:$Q,$B145),0))</f>
        <v/>
      </c>
      <c r="M145" s="11">
        <f>IF($B145="","",INDEX('Yuri - Book'!$P:$P,$B145))</f>
        <v/>
      </c>
    </row>
    <row r="146">
      <c r="A146" s="11" t="b">
        <v>0</v>
      </c>
      <c r="B146" s="11">
        <f>IFERROR(MATCH(79,'Yuri - Book'!$V$4:$V$203,0)+4-1,"")</f>
        <v/>
      </c>
      <c r="C146" s="11">
        <f>IF($B146="","",INDEX('Yuri - Book'!$A:$A,$B146))</f>
        <v/>
      </c>
      <c r="D146" s="11">
        <f>IF($B146="","",INDEX('Yuri - Book'!$B:$B,$B146))</f>
        <v/>
      </c>
      <c r="E146" s="12">
        <f>IF($B146="","",INDEX('Yuri - Book'!$J:$J,$B146))</f>
        <v/>
      </c>
      <c r="F146" s="11">
        <f>IF($B146="","","Yuri")</f>
        <v/>
      </c>
      <c r="G146" s="11">
        <f>IF($B146="","",INDEX('Yuri - Book'!$C:$C,$B146))</f>
        <v/>
      </c>
      <c r="H146" s="11">
        <f>IF($B146="","",INDEX('Yuri - Book'!$D:$D,$B146))</f>
        <v/>
      </c>
      <c r="I146" s="11">
        <f>IF($B146="","",INDEX('Yuri - Book'!$E:$E,$B146))</f>
        <v/>
      </c>
      <c r="J146" s="11">
        <f>IF($B146="","",INDEX('Yuri - Book'!$F:$F,$B146))</f>
        <v/>
      </c>
      <c r="K146" s="11">
        <f>IF($B146="","",INDEX('Yuri - Book'!$K:$K,$B146))</f>
        <v/>
      </c>
      <c r="L146" s="13">
        <f>IF($B146="","",ROUND(INDEX('Yuri - Book'!$Q:$Q,$B146),0))</f>
        <v/>
      </c>
      <c r="M146" s="11">
        <f>IF($B146="","",INDEX('Yuri - Book'!$P:$P,$B146))</f>
        <v/>
      </c>
    </row>
    <row r="147">
      <c r="A147" s="11" t="b">
        <v>0</v>
      </c>
      <c r="B147" s="11">
        <f>IFERROR(MATCH(80,'Yuri - Book'!$V$4:$V$203,0)+4-1,"")</f>
        <v/>
      </c>
      <c r="C147" s="11">
        <f>IF($B147="","",INDEX('Yuri - Book'!$A:$A,$B147))</f>
        <v/>
      </c>
      <c r="D147" s="11">
        <f>IF($B147="","",INDEX('Yuri - Book'!$B:$B,$B147))</f>
        <v/>
      </c>
      <c r="E147" s="12">
        <f>IF($B147="","",INDEX('Yuri - Book'!$J:$J,$B147))</f>
        <v/>
      </c>
      <c r="F147" s="11">
        <f>IF($B147="","","Yuri")</f>
        <v/>
      </c>
      <c r="G147" s="11">
        <f>IF($B147="","",INDEX('Yuri - Book'!$C:$C,$B147))</f>
        <v/>
      </c>
      <c r="H147" s="11">
        <f>IF($B147="","",INDEX('Yuri - Book'!$D:$D,$B147))</f>
        <v/>
      </c>
      <c r="I147" s="11">
        <f>IF($B147="","",INDEX('Yuri - Book'!$E:$E,$B147))</f>
        <v/>
      </c>
      <c r="J147" s="11">
        <f>IF($B147="","",INDEX('Yuri - Book'!$F:$F,$B147))</f>
        <v/>
      </c>
      <c r="K147" s="11">
        <f>IF($B147="","",INDEX('Yuri - Book'!$K:$K,$B147))</f>
        <v/>
      </c>
      <c r="L147" s="13">
        <f>IF($B147="","",ROUND(INDEX('Yuri - Book'!$Q:$Q,$B147),0))</f>
        <v/>
      </c>
      <c r="M147" s="11">
        <f>IF($B147="","",INDEX('Yuri - Book'!$P:$P,$B147))</f>
        <v/>
      </c>
    </row>
    <row r="148">
      <c r="A148" s="11" t="b">
        <v>0</v>
      </c>
      <c r="B148" s="11">
        <f>IFERROR(MATCH(81,'Yuri - Book'!$V$4:$V$203,0)+4-1,"")</f>
        <v/>
      </c>
      <c r="C148" s="11">
        <f>IF($B148="","",INDEX('Yuri - Book'!$A:$A,$B148))</f>
        <v/>
      </c>
      <c r="D148" s="11">
        <f>IF($B148="","",INDEX('Yuri - Book'!$B:$B,$B148))</f>
        <v/>
      </c>
      <c r="E148" s="12">
        <f>IF($B148="","",INDEX('Yuri - Book'!$J:$J,$B148))</f>
        <v/>
      </c>
      <c r="F148" s="11">
        <f>IF($B148="","","Yuri")</f>
        <v/>
      </c>
      <c r="G148" s="11">
        <f>IF($B148="","",INDEX('Yuri - Book'!$C:$C,$B148))</f>
        <v/>
      </c>
      <c r="H148" s="11">
        <f>IF($B148="","",INDEX('Yuri - Book'!$D:$D,$B148))</f>
        <v/>
      </c>
      <c r="I148" s="11">
        <f>IF($B148="","",INDEX('Yuri - Book'!$E:$E,$B148))</f>
        <v/>
      </c>
      <c r="J148" s="11">
        <f>IF($B148="","",INDEX('Yuri - Book'!$F:$F,$B148))</f>
        <v/>
      </c>
      <c r="K148" s="11">
        <f>IF($B148="","",INDEX('Yuri - Book'!$K:$K,$B148))</f>
        <v/>
      </c>
      <c r="L148" s="13">
        <f>IF($B148="","",ROUND(INDEX('Yuri - Book'!$Q:$Q,$B148),0))</f>
        <v/>
      </c>
      <c r="M148" s="11">
        <f>IF($B148="","",INDEX('Yuri - Book'!$P:$P,$B148))</f>
        <v/>
      </c>
    </row>
    <row r="149">
      <c r="A149" s="11" t="b">
        <v>0</v>
      </c>
      <c r="B149" s="11">
        <f>IFERROR(MATCH(82,'Yuri - Book'!$V$4:$V$203,0)+4-1,"")</f>
        <v/>
      </c>
      <c r="C149" s="11">
        <f>IF($B149="","",INDEX('Yuri - Book'!$A:$A,$B149))</f>
        <v/>
      </c>
      <c r="D149" s="11">
        <f>IF($B149="","",INDEX('Yuri - Book'!$B:$B,$B149))</f>
        <v/>
      </c>
      <c r="E149" s="12">
        <f>IF($B149="","",INDEX('Yuri - Book'!$J:$J,$B149))</f>
        <v/>
      </c>
      <c r="F149" s="11">
        <f>IF($B149="","","Yuri")</f>
        <v/>
      </c>
      <c r="G149" s="11">
        <f>IF($B149="","",INDEX('Yuri - Book'!$C:$C,$B149))</f>
        <v/>
      </c>
      <c r="H149" s="11">
        <f>IF($B149="","",INDEX('Yuri - Book'!$D:$D,$B149))</f>
        <v/>
      </c>
      <c r="I149" s="11">
        <f>IF($B149="","",INDEX('Yuri - Book'!$E:$E,$B149))</f>
        <v/>
      </c>
      <c r="J149" s="11">
        <f>IF($B149="","",INDEX('Yuri - Book'!$F:$F,$B149))</f>
        <v/>
      </c>
      <c r="K149" s="11">
        <f>IF($B149="","",INDEX('Yuri - Book'!$K:$K,$B149))</f>
        <v/>
      </c>
      <c r="L149" s="13">
        <f>IF($B149="","",ROUND(INDEX('Yuri - Book'!$Q:$Q,$B149),0))</f>
        <v/>
      </c>
      <c r="M149" s="11">
        <f>IF($B149="","",INDEX('Yuri - Book'!$P:$P,$B149))</f>
        <v/>
      </c>
    </row>
    <row r="150">
      <c r="A150" s="11" t="b">
        <v>0</v>
      </c>
      <c r="B150" s="11">
        <f>IFERROR(MATCH(83,'Yuri - Book'!$V$4:$V$203,0)+4-1,"")</f>
        <v/>
      </c>
      <c r="C150" s="11">
        <f>IF($B150="","",INDEX('Yuri - Book'!$A:$A,$B150))</f>
        <v/>
      </c>
      <c r="D150" s="11">
        <f>IF($B150="","",INDEX('Yuri - Book'!$B:$B,$B150))</f>
        <v/>
      </c>
      <c r="E150" s="12">
        <f>IF($B150="","",INDEX('Yuri - Book'!$J:$J,$B150))</f>
        <v/>
      </c>
      <c r="F150" s="11">
        <f>IF($B150="","","Yuri")</f>
        <v/>
      </c>
      <c r="G150" s="11">
        <f>IF($B150="","",INDEX('Yuri - Book'!$C:$C,$B150))</f>
        <v/>
      </c>
      <c r="H150" s="11">
        <f>IF($B150="","",INDEX('Yuri - Book'!$D:$D,$B150))</f>
        <v/>
      </c>
      <c r="I150" s="11">
        <f>IF($B150="","",INDEX('Yuri - Book'!$E:$E,$B150))</f>
        <v/>
      </c>
      <c r="J150" s="11">
        <f>IF($B150="","",INDEX('Yuri - Book'!$F:$F,$B150))</f>
        <v/>
      </c>
      <c r="K150" s="11">
        <f>IF($B150="","",INDEX('Yuri - Book'!$K:$K,$B150))</f>
        <v/>
      </c>
      <c r="L150" s="13">
        <f>IF($B150="","",ROUND(INDEX('Yuri - Book'!$Q:$Q,$B150),0))</f>
        <v/>
      </c>
      <c r="M150" s="11">
        <f>IF($B150="","",INDEX('Yuri - Book'!$P:$P,$B150))</f>
        <v/>
      </c>
    </row>
    <row r="151">
      <c r="A151" s="11" t="b">
        <v>0</v>
      </c>
      <c r="B151" s="11">
        <f>IFERROR(MATCH(84,'Yuri - Book'!$V$4:$V$203,0)+4-1,"")</f>
        <v/>
      </c>
      <c r="C151" s="11">
        <f>IF($B151="","",INDEX('Yuri - Book'!$A:$A,$B151))</f>
        <v/>
      </c>
      <c r="D151" s="11">
        <f>IF($B151="","",INDEX('Yuri - Book'!$B:$B,$B151))</f>
        <v/>
      </c>
      <c r="E151" s="12">
        <f>IF($B151="","",INDEX('Yuri - Book'!$J:$J,$B151))</f>
        <v/>
      </c>
      <c r="F151" s="11">
        <f>IF($B151="","","Yuri")</f>
        <v/>
      </c>
      <c r="G151" s="11">
        <f>IF($B151="","",INDEX('Yuri - Book'!$C:$C,$B151))</f>
        <v/>
      </c>
      <c r="H151" s="11">
        <f>IF($B151="","",INDEX('Yuri - Book'!$D:$D,$B151))</f>
        <v/>
      </c>
      <c r="I151" s="11">
        <f>IF($B151="","",INDEX('Yuri - Book'!$E:$E,$B151))</f>
        <v/>
      </c>
      <c r="J151" s="11">
        <f>IF($B151="","",INDEX('Yuri - Book'!$F:$F,$B151))</f>
        <v/>
      </c>
      <c r="K151" s="11">
        <f>IF($B151="","",INDEX('Yuri - Book'!$K:$K,$B151))</f>
        <v/>
      </c>
      <c r="L151" s="13">
        <f>IF($B151="","",ROUND(INDEX('Yuri - Book'!$Q:$Q,$B151),0))</f>
        <v/>
      </c>
      <c r="M151" s="11">
        <f>IF($B151="","",INDEX('Yuri - Book'!$P:$P,$B151))</f>
        <v/>
      </c>
    </row>
    <row r="152">
      <c r="A152" s="11" t="b">
        <v>0</v>
      </c>
      <c r="B152" s="11">
        <f>IFERROR(MATCH(85,'Yuri - Book'!$V$4:$V$203,0)+4-1,"")</f>
        <v/>
      </c>
      <c r="C152" s="11">
        <f>IF($B152="","",INDEX('Yuri - Book'!$A:$A,$B152))</f>
        <v/>
      </c>
      <c r="D152" s="11">
        <f>IF($B152="","",INDEX('Yuri - Book'!$B:$B,$B152))</f>
        <v/>
      </c>
      <c r="E152" s="12">
        <f>IF($B152="","",INDEX('Yuri - Book'!$J:$J,$B152))</f>
        <v/>
      </c>
      <c r="F152" s="11">
        <f>IF($B152="","","Yuri")</f>
        <v/>
      </c>
      <c r="G152" s="11">
        <f>IF($B152="","",INDEX('Yuri - Book'!$C:$C,$B152))</f>
        <v/>
      </c>
      <c r="H152" s="11">
        <f>IF($B152="","",INDEX('Yuri - Book'!$D:$D,$B152))</f>
        <v/>
      </c>
      <c r="I152" s="11">
        <f>IF($B152="","",INDEX('Yuri - Book'!$E:$E,$B152))</f>
        <v/>
      </c>
      <c r="J152" s="11">
        <f>IF($B152="","",INDEX('Yuri - Book'!$F:$F,$B152))</f>
        <v/>
      </c>
      <c r="K152" s="11">
        <f>IF($B152="","",INDEX('Yuri - Book'!$K:$K,$B152))</f>
        <v/>
      </c>
      <c r="L152" s="13">
        <f>IF($B152="","",ROUND(INDEX('Yuri - Book'!$Q:$Q,$B152),0))</f>
        <v/>
      </c>
      <c r="M152" s="11">
        <f>IF($B152="","",INDEX('Yuri - Book'!$P:$P,$B152))</f>
        <v/>
      </c>
    </row>
    <row r="153">
      <c r="A153" s="11" t="b">
        <v>0</v>
      </c>
      <c r="B153" s="11">
        <f>IFERROR(MATCH(86,'Yuri - Book'!$V$4:$V$203,0)+4-1,"")</f>
        <v/>
      </c>
      <c r="C153" s="11">
        <f>IF($B153="","",INDEX('Yuri - Book'!$A:$A,$B153))</f>
        <v/>
      </c>
      <c r="D153" s="11">
        <f>IF($B153="","",INDEX('Yuri - Book'!$B:$B,$B153))</f>
        <v/>
      </c>
      <c r="E153" s="12">
        <f>IF($B153="","",INDEX('Yuri - Book'!$J:$J,$B153))</f>
        <v/>
      </c>
      <c r="F153" s="11">
        <f>IF($B153="","","Yuri")</f>
        <v/>
      </c>
      <c r="G153" s="11">
        <f>IF($B153="","",INDEX('Yuri - Book'!$C:$C,$B153))</f>
        <v/>
      </c>
      <c r="H153" s="11">
        <f>IF($B153="","",INDEX('Yuri - Book'!$D:$D,$B153))</f>
        <v/>
      </c>
      <c r="I153" s="11">
        <f>IF($B153="","",INDEX('Yuri - Book'!$E:$E,$B153))</f>
        <v/>
      </c>
      <c r="J153" s="11">
        <f>IF($B153="","",INDEX('Yuri - Book'!$F:$F,$B153))</f>
        <v/>
      </c>
      <c r="K153" s="11">
        <f>IF($B153="","",INDEX('Yuri - Book'!$K:$K,$B153))</f>
        <v/>
      </c>
      <c r="L153" s="13">
        <f>IF($B153="","",ROUND(INDEX('Yuri - Book'!$Q:$Q,$B153),0))</f>
        <v/>
      </c>
      <c r="M153" s="11">
        <f>IF($B153="","",INDEX('Yuri - Book'!$P:$P,$B153))</f>
        <v/>
      </c>
    </row>
    <row r="154">
      <c r="A154" s="11" t="b">
        <v>0</v>
      </c>
      <c r="B154" s="11">
        <f>IFERROR(MATCH(87,'Yuri - Book'!$V$4:$V$203,0)+4-1,"")</f>
        <v/>
      </c>
      <c r="C154" s="11">
        <f>IF($B154="","",INDEX('Yuri - Book'!$A:$A,$B154))</f>
        <v/>
      </c>
      <c r="D154" s="11">
        <f>IF($B154="","",INDEX('Yuri - Book'!$B:$B,$B154))</f>
        <v/>
      </c>
      <c r="E154" s="12">
        <f>IF($B154="","",INDEX('Yuri - Book'!$J:$J,$B154))</f>
        <v/>
      </c>
      <c r="F154" s="11">
        <f>IF($B154="","","Yuri")</f>
        <v/>
      </c>
      <c r="G154" s="11">
        <f>IF($B154="","",INDEX('Yuri - Book'!$C:$C,$B154))</f>
        <v/>
      </c>
      <c r="H154" s="11">
        <f>IF($B154="","",INDEX('Yuri - Book'!$D:$D,$B154))</f>
        <v/>
      </c>
      <c r="I154" s="11">
        <f>IF($B154="","",INDEX('Yuri - Book'!$E:$E,$B154))</f>
        <v/>
      </c>
      <c r="J154" s="11">
        <f>IF($B154="","",INDEX('Yuri - Book'!$F:$F,$B154))</f>
        <v/>
      </c>
      <c r="K154" s="11">
        <f>IF($B154="","",INDEX('Yuri - Book'!$K:$K,$B154))</f>
        <v/>
      </c>
      <c r="L154" s="13">
        <f>IF($B154="","",ROUND(INDEX('Yuri - Book'!$Q:$Q,$B154),0))</f>
        <v/>
      </c>
      <c r="M154" s="11">
        <f>IF($B154="","",INDEX('Yuri - Book'!$P:$P,$B154))</f>
        <v/>
      </c>
    </row>
    <row r="155">
      <c r="A155" s="11" t="b">
        <v>0</v>
      </c>
      <c r="B155" s="11">
        <f>IFERROR(MATCH(88,'Yuri - Book'!$V$4:$V$203,0)+4-1,"")</f>
        <v/>
      </c>
      <c r="C155" s="11">
        <f>IF($B155="","",INDEX('Yuri - Book'!$A:$A,$B155))</f>
        <v/>
      </c>
      <c r="D155" s="11">
        <f>IF($B155="","",INDEX('Yuri - Book'!$B:$B,$B155))</f>
        <v/>
      </c>
      <c r="E155" s="12">
        <f>IF($B155="","",INDEX('Yuri - Book'!$J:$J,$B155))</f>
        <v/>
      </c>
      <c r="F155" s="11">
        <f>IF($B155="","","Yuri")</f>
        <v/>
      </c>
      <c r="G155" s="11">
        <f>IF($B155="","",INDEX('Yuri - Book'!$C:$C,$B155))</f>
        <v/>
      </c>
      <c r="H155" s="11">
        <f>IF($B155="","",INDEX('Yuri - Book'!$D:$D,$B155))</f>
        <v/>
      </c>
      <c r="I155" s="11">
        <f>IF($B155="","",INDEX('Yuri - Book'!$E:$E,$B155))</f>
        <v/>
      </c>
      <c r="J155" s="11">
        <f>IF($B155="","",INDEX('Yuri - Book'!$F:$F,$B155))</f>
        <v/>
      </c>
      <c r="K155" s="11">
        <f>IF($B155="","",INDEX('Yuri - Book'!$K:$K,$B155))</f>
        <v/>
      </c>
      <c r="L155" s="13">
        <f>IF($B155="","",ROUND(INDEX('Yuri - Book'!$Q:$Q,$B155),0))</f>
        <v/>
      </c>
      <c r="M155" s="11">
        <f>IF($B155="","",INDEX('Yuri - Book'!$P:$P,$B155))</f>
        <v/>
      </c>
    </row>
    <row r="156">
      <c r="A156" s="11" t="b">
        <v>0</v>
      </c>
      <c r="B156" s="11">
        <f>IFERROR(MATCH(89,'Yuri - Book'!$V$4:$V$203,0)+4-1,"")</f>
        <v/>
      </c>
      <c r="C156" s="11">
        <f>IF($B156="","",INDEX('Yuri - Book'!$A:$A,$B156))</f>
        <v/>
      </c>
      <c r="D156" s="11">
        <f>IF($B156="","",INDEX('Yuri - Book'!$B:$B,$B156))</f>
        <v/>
      </c>
      <c r="E156" s="12">
        <f>IF($B156="","",INDEX('Yuri - Book'!$J:$J,$B156))</f>
        <v/>
      </c>
      <c r="F156" s="11">
        <f>IF($B156="","","Yuri")</f>
        <v/>
      </c>
      <c r="G156" s="11">
        <f>IF($B156="","",INDEX('Yuri - Book'!$C:$C,$B156))</f>
        <v/>
      </c>
      <c r="H156" s="11">
        <f>IF($B156="","",INDEX('Yuri - Book'!$D:$D,$B156))</f>
        <v/>
      </c>
      <c r="I156" s="11">
        <f>IF($B156="","",INDEX('Yuri - Book'!$E:$E,$B156))</f>
        <v/>
      </c>
      <c r="J156" s="11">
        <f>IF($B156="","",INDEX('Yuri - Book'!$F:$F,$B156))</f>
        <v/>
      </c>
      <c r="K156" s="11">
        <f>IF($B156="","",INDEX('Yuri - Book'!$K:$K,$B156))</f>
        <v/>
      </c>
      <c r="L156" s="13">
        <f>IF($B156="","",ROUND(INDEX('Yuri - Book'!$Q:$Q,$B156),0))</f>
        <v/>
      </c>
      <c r="M156" s="11">
        <f>IF($B156="","",INDEX('Yuri - Book'!$P:$P,$B156))</f>
        <v/>
      </c>
    </row>
    <row r="157">
      <c r="A157" s="11" t="b">
        <v>0</v>
      </c>
      <c r="B157" s="11">
        <f>IFERROR(MATCH(90,'Yuri - Book'!$V$4:$V$203,0)+4-1,"")</f>
        <v/>
      </c>
      <c r="C157" s="11">
        <f>IF($B157="","",INDEX('Yuri - Book'!$A:$A,$B157))</f>
        <v/>
      </c>
      <c r="D157" s="11">
        <f>IF($B157="","",INDEX('Yuri - Book'!$B:$B,$B157))</f>
        <v/>
      </c>
      <c r="E157" s="12">
        <f>IF($B157="","",INDEX('Yuri - Book'!$J:$J,$B157))</f>
        <v/>
      </c>
      <c r="F157" s="11">
        <f>IF($B157="","","Yuri")</f>
        <v/>
      </c>
      <c r="G157" s="11">
        <f>IF($B157="","",INDEX('Yuri - Book'!$C:$C,$B157))</f>
        <v/>
      </c>
      <c r="H157" s="11">
        <f>IF($B157="","",INDEX('Yuri - Book'!$D:$D,$B157))</f>
        <v/>
      </c>
      <c r="I157" s="11">
        <f>IF($B157="","",INDEX('Yuri - Book'!$E:$E,$B157))</f>
        <v/>
      </c>
      <c r="J157" s="11">
        <f>IF($B157="","",INDEX('Yuri - Book'!$F:$F,$B157))</f>
        <v/>
      </c>
      <c r="K157" s="11">
        <f>IF($B157="","",INDEX('Yuri - Book'!$K:$K,$B157))</f>
        <v/>
      </c>
      <c r="L157" s="13">
        <f>IF($B157="","",ROUND(INDEX('Yuri - Book'!$Q:$Q,$B157),0))</f>
        <v/>
      </c>
      <c r="M157" s="11">
        <f>IF($B157="","",INDEX('Yuri - Book'!$P:$P,$B157))</f>
        <v/>
      </c>
    </row>
    <row r="158">
      <c r="A158" s="11" t="b">
        <v>0</v>
      </c>
      <c r="B158" s="11">
        <f>IFERROR(MATCH(91,'Yuri - Book'!$V$4:$V$203,0)+4-1,"")</f>
        <v/>
      </c>
      <c r="C158" s="11">
        <f>IF($B158="","",INDEX('Yuri - Book'!$A:$A,$B158))</f>
        <v/>
      </c>
      <c r="D158" s="11">
        <f>IF($B158="","",INDEX('Yuri - Book'!$B:$B,$B158))</f>
        <v/>
      </c>
      <c r="E158" s="12">
        <f>IF($B158="","",INDEX('Yuri - Book'!$J:$J,$B158))</f>
        <v/>
      </c>
      <c r="F158" s="11">
        <f>IF($B158="","","Yuri")</f>
        <v/>
      </c>
      <c r="G158" s="11">
        <f>IF($B158="","",INDEX('Yuri - Book'!$C:$C,$B158))</f>
        <v/>
      </c>
      <c r="H158" s="11">
        <f>IF($B158="","",INDEX('Yuri - Book'!$D:$D,$B158))</f>
        <v/>
      </c>
      <c r="I158" s="11">
        <f>IF($B158="","",INDEX('Yuri - Book'!$E:$E,$B158))</f>
        <v/>
      </c>
      <c r="J158" s="11">
        <f>IF($B158="","",INDEX('Yuri - Book'!$F:$F,$B158))</f>
        <v/>
      </c>
      <c r="K158" s="11">
        <f>IF($B158="","",INDEX('Yuri - Book'!$K:$K,$B158))</f>
        <v/>
      </c>
      <c r="L158" s="13">
        <f>IF($B158="","",ROUND(INDEX('Yuri - Book'!$Q:$Q,$B158),0))</f>
        <v/>
      </c>
      <c r="M158" s="11">
        <f>IF($B158="","",INDEX('Yuri - Book'!$P:$P,$B158))</f>
        <v/>
      </c>
    </row>
    <row r="159">
      <c r="A159" s="11" t="b">
        <v>0</v>
      </c>
      <c r="B159" s="11">
        <f>IFERROR(MATCH(92,'Yuri - Book'!$V$4:$V$203,0)+4-1,"")</f>
        <v/>
      </c>
      <c r="C159" s="11">
        <f>IF($B159="","",INDEX('Yuri - Book'!$A:$A,$B159))</f>
        <v/>
      </c>
      <c r="D159" s="11">
        <f>IF($B159="","",INDEX('Yuri - Book'!$B:$B,$B159))</f>
        <v/>
      </c>
      <c r="E159" s="12">
        <f>IF($B159="","",INDEX('Yuri - Book'!$J:$J,$B159))</f>
        <v/>
      </c>
      <c r="F159" s="11">
        <f>IF($B159="","","Yuri")</f>
        <v/>
      </c>
      <c r="G159" s="11">
        <f>IF($B159="","",INDEX('Yuri - Book'!$C:$C,$B159))</f>
        <v/>
      </c>
      <c r="H159" s="11">
        <f>IF($B159="","",INDEX('Yuri - Book'!$D:$D,$B159))</f>
        <v/>
      </c>
      <c r="I159" s="11">
        <f>IF($B159="","",INDEX('Yuri - Book'!$E:$E,$B159))</f>
        <v/>
      </c>
      <c r="J159" s="11">
        <f>IF($B159="","",INDEX('Yuri - Book'!$F:$F,$B159))</f>
        <v/>
      </c>
      <c r="K159" s="11">
        <f>IF($B159="","",INDEX('Yuri - Book'!$K:$K,$B159))</f>
        <v/>
      </c>
      <c r="L159" s="13">
        <f>IF($B159="","",ROUND(INDEX('Yuri - Book'!$Q:$Q,$B159),0))</f>
        <v/>
      </c>
      <c r="M159" s="11">
        <f>IF($B159="","",INDEX('Yuri - Book'!$P:$P,$B159))</f>
        <v/>
      </c>
    </row>
    <row r="160">
      <c r="A160" s="11" t="b">
        <v>0</v>
      </c>
      <c r="B160" s="11">
        <f>IFERROR(MATCH(93,'Yuri - Book'!$V$4:$V$203,0)+4-1,"")</f>
        <v/>
      </c>
      <c r="C160" s="11">
        <f>IF($B160="","",INDEX('Yuri - Book'!$A:$A,$B160))</f>
        <v/>
      </c>
      <c r="D160" s="11">
        <f>IF($B160="","",INDEX('Yuri - Book'!$B:$B,$B160))</f>
        <v/>
      </c>
      <c r="E160" s="12">
        <f>IF($B160="","",INDEX('Yuri - Book'!$J:$J,$B160))</f>
        <v/>
      </c>
      <c r="F160" s="11">
        <f>IF($B160="","","Yuri")</f>
        <v/>
      </c>
      <c r="G160" s="11">
        <f>IF($B160="","",INDEX('Yuri - Book'!$C:$C,$B160))</f>
        <v/>
      </c>
      <c r="H160" s="11">
        <f>IF($B160="","",INDEX('Yuri - Book'!$D:$D,$B160))</f>
        <v/>
      </c>
      <c r="I160" s="11">
        <f>IF($B160="","",INDEX('Yuri - Book'!$E:$E,$B160))</f>
        <v/>
      </c>
      <c r="J160" s="11">
        <f>IF($B160="","",INDEX('Yuri - Book'!$F:$F,$B160))</f>
        <v/>
      </c>
      <c r="K160" s="11">
        <f>IF($B160="","",INDEX('Yuri - Book'!$K:$K,$B160))</f>
        <v/>
      </c>
      <c r="L160" s="13">
        <f>IF($B160="","",ROUND(INDEX('Yuri - Book'!$Q:$Q,$B160),0))</f>
        <v/>
      </c>
      <c r="M160" s="11">
        <f>IF($B160="","",INDEX('Yuri - Book'!$P:$P,$B160))</f>
        <v/>
      </c>
    </row>
    <row r="161">
      <c r="A161" s="11" t="b">
        <v>0</v>
      </c>
      <c r="B161" s="11">
        <f>IFERROR(MATCH(94,'Yuri - Book'!$V$4:$V$203,0)+4-1,"")</f>
        <v/>
      </c>
      <c r="C161" s="11">
        <f>IF($B161="","",INDEX('Yuri - Book'!$A:$A,$B161))</f>
        <v/>
      </c>
      <c r="D161" s="11">
        <f>IF($B161="","",INDEX('Yuri - Book'!$B:$B,$B161))</f>
        <v/>
      </c>
      <c r="E161" s="12">
        <f>IF($B161="","",INDEX('Yuri - Book'!$J:$J,$B161))</f>
        <v/>
      </c>
      <c r="F161" s="11">
        <f>IF($B161="","","Yuri")</f>
        <v/>
      </c>
      <c r="G161" s="11">
        <f>IF($B161="","",INDEX('Yuri - Book'!$C:$C,$B161))</f>
        <v/>
      </c>
      <c r="H161" s="11">
        <f>IF($B161="","",INDEX('Yuri - Book'!$D:$D,$B161))</f>
        <v/>
      </c>
      <c r="I161" s="11">
        <f>IF($B161="","",INDEX('Yuri - Book'!$E:$E,$B161))</f>
        <v/>
      </c>
      <c r="J161" s="11">
        <f>IF($B161="","",INDEX('Yuri - Book'!$F:$F,$B161))</f>
        <v/>
      </c>
      <c r="K161" s="11">
        <f>IF($B161="","",INDEX('Yuri - Book'!$K:$K,$B161))</f>
        <v/>
      </c>
      <c r="L161" s="13">
        <f>IF($B161="","",ROUND(INDEX('Yuri - Book'!$Q:$Q,$B161),0))</f>
        <v/>
      </c>
      <c r="M161" s="11">
        <f>IF($B161="","",INDEX('Yuri - Book'!$P:$P,$B161))</f>
        <v/>
      </c>
    </row>
    <row r="162">
      <c r="A162" s="11" t="b">
        <v>0</v>
      </c>
      <c r="B162" s="11">
        <f>IFERROR(MATCH(95,'Yuri - Book'!$V$4:$V$203,0)+4-1,"")</f>
        <v/>
      </c>
      <c r="C162" s="11">
        <f>IF($B162="","",INDEX('Yuri - Book'!$A:$A,$B162))</f>
        <v/>
      </c>
      <c r="D162" s="11">
        <f>IF($B162="","",INDEX('Yuri - Book'!$B:$B,$B162))</f>
        <v/>
      </c>
      <c r="E162" s="12">
        <f>IF($B162="","",INDEX('Yuri - Book'!$J:$J,$B162))</f>
        <v/>
      </c>
      <c r="F162" s="11">
        <f>IF($B162="","","Yuri")</f>
        <v/>
      </c>
      <c r="G162" s="11">
        <f>IF($B162="","",INDEX('Yuri - Book'!$C:$C,$B162))</f>
        <v/>
      </c>
      <c r="H162" s="11">
        <f>IF($B162="","",INDEX('Yuri - Book'!$D:$D,$B162))</f>
        <v/>
      </c>
      <c r="I162" s="11">
        <f>IF($B162="","",INDEX('Yuri - Book'!$E:$E,$B162))</f>
        <v/>
      </c>
      <c r="J162" s="11">
        <f>IF($B162="","",INDEX('Yuri - Book'!$F:$F,$B162))</f>
        <v/>
      </c>
      <c r="K162" s="11">
        <f>IF($B162="","",INDEX('Yuri - Book'!$K:$K,$B162))</f>
        <v/>
      </c>
      <c r="L162" s="13">
        <f>IF($B162="","",ROUND(INDEX('Yuri - Book'!$Q:$Q,$B162),0))</f>
        <v/>
      </c>
      <c r="M162" s="11">
        <f>IF($B162="","",INDEX('Yuri - Book'!$P:$P,$B162))</f>
        <v/>
      </c>
    </row>
    <row r="163">
      <c r="A163" s="11" t="b">
        <v>0</v>
      </c>
      <c r="B163" s="11">
        <f>IFERROR(MATCH(96,'Yuri - Book'!$V$4:$V$203,0)+4-1,"")</f>
        <v/>
      </c>
      <c r="C163" s="11">
        <f>IF($B163="","",INDEX('Yuri - Book'!$A:$A,$B163))</f>
        <v/>
      </c>
      <c r="D163" s="11">
        <f>IF($B163="","",INDEX('Yuri - Book'!$B:$B,$B163))</f>
        <v/>
      </c>
      <c r="E163" s="12">
        <f>IF($B163="","",INDEX('Yuri - Book'!$J:$J,$B163))</f>
        <v/>
      </c>
      <c r="F163" s="11">
        <f>IF($B163="","","Yuri")</f>
        <v/>
      </c>
      <c r="G163" s="11">
        <f>IF($B163="","",INDEX('Yuri - Book'!$C:$C,$B163))</f>
        <v/>
      </c>
      <c r="H163" s="11">
        <f>IF($B163="","",INDEX('Yuri - Book'!$D:$D,$B163))</f>
        <v/>
      </c>
      <c r="I163" s="11">
        <f>IF($B163="","",INDEX('Yuri - Book'!$E:$E,$B163))</f>
        <v/>
      </c>
      <c r="J163" s="11">
        <f>IF($B163="","",INDEX('Yuri - Book'!$F:$F,$B163))</f>
        <v/>
      </c>
      <c r="K163" s="11">
        <f>IF($B163="","",INDEX('Yuri - Book'!$K:$K,$B163))</f>
        <v/>
      </c>
      <c r="L163" s="13">
        <f>IF($B163="","",ROUND(INDEX('Yuri - Book'!$Q:$Q,$B163),0))</f>
        <v/>
      </c>
      <c r="M163" s="11">
        <f>IF($B163="","",INDEX('Yuri - Book'!$P:$P,$B163))</f>
        <v/>
      </c>
    </row>
    <row r="164">
      <c r="A164" s="11" t="b">
        <v>0</v>
      </c>
      <c r="B164" s="11">
        <f>IFERROR(MATCH(97,'Yuri - Book'!$V$4:$V$203,0)+4-1,"")</f>
        <v/>
      </c>
      <c r="C164" s="11">
        <f>IF($B164="","",INDEX('Yuri - Book'!$A:$A,$B164))</f>
        <v/>
      </c>
      <c r="D164" s="11">
        <f>IF($B164="","",INDEX('Yuri - Book'!$B:$B,$B164))</f>
        <v/>
      </c>
      <c r="E164" s="12">
        <f>IF($B164="","",INDEX('Yuri - Book'!$J:$J,$B164))</f>
        <v/>
      </c>
      <c r="F164" s="11">
        <f>IF($B164="","","Yuri")</f>
        <v/>
      </c>
      <c r="G164" s="11">
        <f>IF($B164="","",INDEX('Yuri - Book'!$C:$C,$B164))</f>
        <v/>
      </c>
      <c r="H164" s="11">
        <f>IF($B164="","",INDEX('Yuri - Book'!$D:$D,$B164))</f>
        <v/>
      </c>
      <c r="I164" s="11">
        <f>IF($B164="","",INDEX('Yuri - Book'!$E:$E,$B164))</f>
        <v/>
      </c>
      <c r="J164" s="11">
        <f>IF($B164="","",INDEX('Yuri - Book'!$F:$F,$B164))</f>
        <v/>
      </c>
      <c r="K164" s="11">
        <f>IF($B164="","",INDEX('Yuri - Book'!$K:$K,$B164))</f>
        <v/>
      </c>
      <c r="L164" s="13">
        <f>IF($B164="","",ROUND(INDEX('Yuri - Book'!$Q:$Q,$B164),0))</f>
        <v/>
      </c>
      <c r="M164" s="11">
        <f>IF($B164="","",INDEX('Yuri - Book'!$P:$P,$B164))</f>
        <v/>
      </c>
    </row>
    <row r="165">
      <c r="A165" s="11" t="b">
        <v>0</v>
      </c>
      <c r="B165" s="11">
        <f>IFERROR(MATCH(98,'Yuri - Book'!$V$4:$V$203,0)+4-1,"")</f>
        <v/>
      </c>
      <c r="C165" s="11">
        <f>IF($B165="","",INDEX('Yuri - Book'!$A:$A,$B165))</f>
        <v/>
      </c>
      <c r="D165" s="11">
        <f>IF($B165="","",INDEX('Yuri - Book'!$B:$B,$B165))</f>
        <v/>
      </c>
      <c r="E165" s="12">
        <f>IF($B165="","",INDEX('Yuri - Book'!$J:$J,$B165))</f>
        <v/>
      </c>
      <c r="F165" s="11">
        <f>IF($B165="","","Yuri")</f>
        <v/>
      </c>
      <c r="G165" s="11">
        <f>IF($B165="","",INDEX('Yuri - Book'!$C:$C,$B165))</f>
        <v/>
      </c>
      <c r="H165" s="11">
        <f>IF($B165="","",INDEX('Yuri - Book'!$D:$D,$B165))</f>
        <v/>
      </c>
      <c r="I165" s="11">
        <f>IF($B165="","",INDEX('Yuri - Book'!$E:$E,$B165))</f>
        <v/>
      </c>
      <c r="J165" s="11">
        <f>IF($B165="","",INDEX('Yuri - Book'!$F:$F,$B165))</f>
        <v/>
      </c>
      <c r="K165" s="11">
        <f>IF($B165="","",INDEX('Yuri - Book'!$K:$K,$B165))</f>
        <v/>
      </c>
      <c r="L165" s="13">
        <f>IF($B165="","",ROUND(INDEX('Yuri - Book'!$Q:$Q,$B165),0))</f>
        <v/>
      </c>
      <c r="M165" s="11">
        <f>IF($B165="","",INDEX('Yuri - Book'!$P:$P,$B165))</f>
        <v/>
      </c>
    </row>
    <row r="166">
      <c r="A166" s="11" t="b">
        <v>0</v>
      </c>
      <c r="B166" s="11">
        <f>IFERROR(MATCH(99,'Yuri - Book'!$V$4:$V$203,0)+4-1,"")</f>
        <v/>
      </c>
      <c r="C166" s="11">
        <f>IF($B166="","",INDEX('Yuri - Book'!$A:$A,$B166))</f>
        <v/>
      </c>
      <c r="D166" s="11">
        <f>IF($B166="","",INDEX('Yuri - Book'!$B:$B,$B166))</f>
        <v/>
      </c>
      <c r="E166" s="12">
        <f>IF($B166="","",INDEX('Yuri - Book'!$J:$J,$B166))</f>
        <v/>
      </c>
      <c r="F166" s="11">
        <f>IF($B166="","","Yuri")</f>
        <v/>
      </c>
      <c r="G166" s="11">
        <f>IF($B166="","",INDEX('Yuri - Book'!$C:$C,$B166))</f>
        <v/>
      </c>
      <c r="H166" s="11">
        <f>IF($B166="","",INDEX('Yuri - Book'!$D:$D,$B166))</f>
        <v/>
      </c>
      <c r="I166" s="11">
        <f>IF($B166="","",INDEX('Yuri - Book'!$E:$E,$B166))</f>
        <v/>
      </c>
      <c r="J166" s="11">
        <f>IF($B166="","",INDEX('Yuri - Book'!$F:$F,$B166))</f>
        <v/>
      </c>
      <c r="K166" s="11">
        <f>IF($B166="","",INDEX('Yuri - Book'!$K:$K,$B166))</f>
        <v/>
      </c>
      <c r="L166" s="13">
        <f>IF($B166="","",ROUND(INDEX('Yuri - Book'!$Q:$Q,$B166),0))</f>
        <v/>
      </c>
      <c r="M166" s="11">
        <f>IF($B166="","",INDEX('Yuri - Book'!$P:$P,$B166))</f>
        <v/>
      </c>
    </row>
    <row r="167">
      <c r="A167" s="11" t="b">
        <v>0</v>
      </c>
      <c r="B167" s="11">
        <f>IFERROR(MATCH(100,'Yuri - Book'!$V$4:$V$203,0)+4-1,"")</f>
        <v/>
      </c>
      <c r="C167" s="11">
        <f>IF($B167="","",INDEX('Yuri - Book'!$A:$A,$B167))</f>
        <v/>
      </c>
      <c r="D167" s="11">
        <f>IF($B167="","",INDEX('Yuri - Book'!$B:$B,$B167))</f>
        <v/>
      </c>
      <c r="E167" s="12">
        <f>IF($B167="","",INDEX('Yuri - Book'!$J:$J,$B167))</f>
        <v/>
      </c>
      <c r="F167" s="11">
        <f>IF($B167="","","Yuri")</f>
        <v/>
      </c>
      <c r="G167" s="11">
        <f>IF($B167="","",INDEX('Yuri - Book'!$C:$C,$B167))</f>
        <v/>
      </c>
      <c r="H167" s="11">
        <f>IF($B167="","",INDEX('Yuri - Book'!$D:$D,$B167))</f>
        <v/>
      </c>
      <c r="I167" s="11">
        <f>IF($B167="","",INDEX('Yuri - Book'!$E:$E,$B167))</f>
        <v/>
      </c>
      <c r="J167" s="11">
        <f>IF($B167="","",INDEX('Yuri - Book'!$F:$F,$B167))</f>
        <v/>
      </c>
      <c r="K167" s="11">
        <f>IF($B167="","",INDEX('Yuri - Book'!$K:$K,$B167))</f>
        <v/>
      </c>
      <c r="L167" s="13">
        <f>IF($B167="","",ROUND(INDEX('Yuri - Book'!$Q:$Q,$B167),0))</f>
        <v/>
      </c>
      <c r="M167" s="11">
        <f>IF($B167="","",INDEX('Yuri - Book'!$P:$P,$B167))</f>
        <v/>
      </c>
    </row>
    <row r="168">
      <c r="A168" s="11" t="b">
        <v>0</v>
      </c>
      <c r="B168" s="11">
        <f>IFERROR(MATCH(101,'Yuri - Book'!$V$4:$V$203,0)+4-1,"")</f>
        <v/>
      </c>
      <c r="C168" s="11">
        <f>IF($B168="","",INDEX('Yuri - Book'!$A:$A,$B168))</f>
        <v/>
      </c>
      <c r="D168" s="11">
        <f>IF($B168="","",INDEX('Yuri - Book'!$B:$B,$B168))</f>
        <v/>
      </c>
      <c r="E168" s="12">
        <f>IF($B168="","",INDEX('Yuri - Book'!$J:$J,$B168))</f>
        <v/>
      </c>
      <c r="F168" s="11">
        <f>IF($B168="","","Yuri")</f>
        <v/>
      </c>
      <c r="G168" s="11">
        <f>IF($B168="","",INDEX('Yuri - Book'!$C:$C,$B168))</f>
        <v/>
      </c>
      <c r="H168" s="11">
        <f>IF($B168="","",INDEX('Yuri - Book'!$D:$D,$B168))</f>
        <v/>
      </c>
      <c r="I168" s="11">
        <f>IF($B168="","",INDEX('Yuri - Book'!$E:$E,$B168))</f>
        <v/>
      </c>
      <c r="J168" s="11">
        <f>IF($B168="","",INDEX('Yuri - Book'!$F:$F,$B168))</f>
        <v/>
      </c>
      <c r="K168" s="11">
        <f>IF($B168="","",INDEX('Yuri - Book'!$K:$K,$B168))</f>
        <v/>
      </c>
      <c r="L168" s="13">
        <f>IF($B168="","",ROUND(INDEX('Yuri - Book'!$Q:$Q,$B168),0))</f>
        <v/>
      </c>
      <c r="M168" s="11">
        <f>IF($B168="","",INDEX('Yuri - Book'!$P:$P,$B168))</f>
        <v/>
      </c>
    </row>
    <row r="169">
      <c r="A169" s="11" t="b">
        <v>0</v>
      </c>
      <c r="B169" s="11">
        <f>IFERROR(MATCH(102,'Yuri - Book'!$V$4:$V$203,0)+4-1,"")</f>
        <v/>
      </c>
      <c r="C169" s="11">
        <f>IF($B169="","",INDEX('Yuri - Book'!$A:$A,$B169))</f>
        <v/>
      </c>
      <c r="D169" s="11">
        <f>IF($B169="","",INDEX('Yuri - Book'!$B:$B,$B169))</f>
        <v/>
      </c>
      <c r="E169" s="12">
        <f>IF($B169="","",INDEX('Yuri - Book'!$J:$J,$B169))</f>
        <v/>
      </c>
      <c r="F169" s="11">
        <f>IF($B169="","","Yuri")</f>
        <v/>
      </c>
      <c r="G169" s="11">
        <f>IF($B169="","",INDEX('Yuri - Book'!$C:$C,$B169))</f>
        <v/>
      </c>
      <c r="H169" s="11">
        <f>IF($B169="","",INDEX('Yuri - Book'!$D:$D,$B169))</f>
        <v/>
      </c>
      <c r="I169" s="11">
        <f>IF($B169="","",INDEX('Yuri - Book'!$E:$E,$B169))</f>
        <v/>
      </c>
      <c r="J169" s="11">
        <f>IF($B169="","",INDEX('Yuri - Book'!$F:$F,$B169))</f>
        <v/>
      </c>
      <c r="K169" s="11">
        <f>IF($B169="","",INDEX('Yuri - Book'!$K:$K,$B169))</f>
        <v/>
      </c>
      <c r="L169" s="13">
        <f>IF($B169="","",ROUND(INDEX('Yuri - Book'!$Q:$Q,$B169),0))</f>
        <v/>
      </c>
      <c r="M169" s="11">
        <f>IF($B169="","",INDEX('Yuri - Book'!$P:$P,$B169))</f>
        <v/>
      </c>
    </row>
    <row r="170">
      <c r="A170" s="11" t="b">
        <v>0</v>
      </c>
      <c r="B170" s="11">
        <f>IFERROR(MATCH(103,'Yuri - Book'!$V$4:$V$203,0)+4-1,"")</f>
        <v/>
      </c>
      <c r="C170" s="11">
        <f>IF($B170="","",INDEX('Yuri - Book'!$A:$A,$B170))</f>
        <v/>
      </c>
      <c r="D170" s="11">
        <f>IF($B170="","",INDEX('Yuri - Book'!$B:$B,$B170))</f>
        <v/>
      </c>
      <c r="E170" s="12">
        <f>IF($B170="","",INDEX('Yuri - Book'!$J:$J,$B170))</f>
        <v/>
      </c>
      <c r="F170" s="11">
        <f>IF($B170="","","Yuri")</f>
        <v/>
      </c>
      <c r="G170" s="11">
        <f>IF($B170="","",INDEX('Yuri - Book'!$C:$C,$B170))</f>
        <v/>
      </c>
      <c r="H170" s="11">
        <f>IF($B170="","",INDEX('Yuri - Book'!$D:$D,$B170))</f>
        <v/>
      </c>
      <c r="I170" s="11">
        <f>IF($B170="","",INDEX('Yuri - Book'!$E:$E,$B170))</f>
        <v/>
      </c>
      <c r="J170" s="11">
        <f>IF($B170="","",INDEX('Yuri - Book'!$F:$F,$B170))</f>
        <v/>
      </c>
      <c r="K170" s="11">
        <f>IF($B170="","",INDEX('Yuri - Book'!$K:$K,$B170))</f>
        <v/>
      </c>
      <c r="L170" s="13">
        <f>IF($B170="","",ROUND(INDEX('Yuri - Book'!$Q:$Q,$B170),0))</f>
        <v/>
      </c>
      <c r="M170" s="11">
        <f>IF($B170="","",INDEX('Yuri - Book'!$P:$P,$B170))</f>
        <v/>
      </c>
    </row>
    <row r="171">
      <c r="A171" s="11" t="b">
        <v>0</v>
      </c>
      <c r="B171" s="11">
        <f>IFERROR(MATCH(104,'Yuri - Book'!$V$4:$V$203,0)+4-1,"")</f>
        <v/>
      </c>
      <c r="C171" s="11">
        <f>IF($B171="","",INDEX('Yuri - Book'!$A:$A,$B171))</f>
        <v/>
      </c>
      <c r="D171" s="11">
        <f>IF($B171="","",INDEX('Yuri - Book'!$B:$B,$B171))</f>
        <v/>
      </c>
      <c r="E171" s="12">
        <f>IF($B171="","",INDEX('Yuri - Book'!$J:$J,$B171))</f>
        <v/>
      </c>
      <c r="F171" s="11">
        <f>IF($B171="","","Yuri")</f>
        <v/>
      </c>
      <c r="G171" s="11">
        <f>IF($B171="","",INDEX('Yuri - Book'!$C:$C,$B171))</f>
        <v/>
      </c>
      <c r="H171" s="11">
        <f>IF($B171="","",INDEX('Yuri - Book'!$D:$D,$B171))</f>
        <v/>
      </c>
      <c r="I171" s="11">
        <f>IF($B171="","",INDEX('Yuri - Book'!$E:$E,$B171))</f>
        <v/>
      </c>
      <c r="J171" s="11">
        <f>IF($B171="","",INDEX('Yuri - Book'!$F:$F,$B171))</f>
        <v/>
      </c>
      <c r="K171" s="11">
        <f>IF($B171="","",INDEX('Yuri - Book'!$K:$K,$B171))</f>
        <v/>
      </c>
      <c r="L171" s="13">
        <f>IF($B171="","",ROUND(INDEX('Yuri - Book'!$Q:$Q,$B171),0))</f>
        <v/>
      </c>
      <c r="M171" s="11">
        <f>IF($B171="","",INDEX('Yuri - Book'!$P:$P,$B171))</f>
        <v/>
      </c>
    </row>
    <row r="172">
      <c r="A172" s="11" t="b">
        <v>0</v>
      </c>
      <c r="B172" s="11">
        <f>IFERROR(MATCH(105,'Yuri - Book'!$V$4:$V$203,0)+4-1,"")</f>
        <v/>
      </c>
      <c r="C172" s="11">
        <f>IF($B172="","",INDEX('Yuri - Book'!$A:$A,$B172))</f>
        <v/>
      </c>
      <c r="D172" s="11">
        <f>IF($B172="","",INDEX('Yuri - Book'!$B:$B,$B172))</f>
        <v/>
      </c>
      <c r="E172" s="12">
        <f>IF($B172="","",INDEX('Yuri - Book'!$J:$J,$B172))</f>
        <v/>
      </c>
      <c r="F172" s="11">
        <f>IF($B172="","","Yuri")</f>
        <v/>
      </c>
      <c r="G172" s="11">
        <f>IF($B172="","",INDEX('Yuri - Book'!$C:$C,$B172))</f>
        <v/>
      </c>
      <c r="H172" s="11">
        <f>IF($B172="","",INDEX('Yuri - Book'!$D:$D,$B172))</f>
        <v/>
      </c>
      <c r="I172" s="11">
        <f>IF($B172="","",INDEX('Yuri - Book'!$E:$E,$B172))</f>
        <v/>
      </c>
      <c r="J172" s="11">
        <f>IF($B172="","",INDEX('Yuri - Book'!$F:$F,$B172))</f>
        <v/>
      </c>
      <c r="K172" s="11">
        <f>IF($B172="","",INDEX('Yuri - Book'!$K:$K,$B172))</f>
        <v/>
      </c>
      <c r="L172" s="13">
        <f>IF($B172="","",ROUND(INDEX('Yuri - Book'!$Q:$Q,$B172),0))</f>
        <v/>
      </c>
      <c r="M172" s="11">
        <f>IF($B172="","",INDEX('Yuri - Book'!$P:$P,$B172))</f>
        <v/>
      </c>
    </row>
    <row r="173">
      <c r="A173" s="11" t="b">
        <v>0</v>
      </c>
      <c r="B173" s="11">
        <f>IFERROR(MATCH(106,'Yuri - Book'!$V$4:$V$203,0)+4-1,"")</f>
        <v/>
      </c>
      <c r="C173" s="11">
        <f>IF($B173="","",INDEX('Yuri - Book'!$A:$A,$B173))</f>
        <v/>
      </c>
      <c r="D173" s="11">
        <f>IF($B173="","",INDEX('Yuri - Book'!$B:$B,$B173))</f>
        <v/>
      </c>
      <c r="E173" s="12">
        <f>IF($B173="","",INDEX('Yuri - Book'!$J:$J,$B173))</f>
        <v/>
      </c>
      <c r="F173" s="11">
        <f>IF($B173="","","Yuri")</f>
        <v/>
      </c>
      <c r="G173" s="11">
        <f>IF($B173="","",INDEX('Yuri - Book'!$C:$C,$B173))</f>
        <v/>
      </c>
      <c r="H173" s="11">
        <f>IF($B173="","",INDEX('Yuri - Book'!$D:$D,$B173))</f>
        <v/>
      </c>
      <c r="I173" s="11">
        <f>IF($B173="","",INDEX('Yuri - Book'!$E:$E,$B173))</f>
        <v/>
      </c>
      <c r="J173" s="11">
        <f>IF($B173="","",INDEX('Yuri - Book'!$F:$F,$B173))</f>
        <v/>
      </c>
      <c r="K173" s="11">
        <f>IF($B173="","",INDEX('Yuri - Book'!$K:$K,$B173))</f>
        <v/>
      </c>
      <c r="L173" s="13">
        <f>IF($B173="","",ROUND(INDEX('Yuri - Book'!$Q:$Q,$B173),0))</f>
        <v/>
      </c>
      <c r="M173" s="11">
        <f>IF($B173="","",INDEX('Yuri - Book'!$P:$P,$B173))</f>
        <v/>
      </c>
    </row>
    <row r="174">
      <c r="A174" s="11" t="b">
        <v>0</v>
      </c>
      <c r="B174" s="11">
        <f>IFERROR(MATCH(107,'Yuri - Book'!$V$4:$V$203,0)+4-1,"")</f>
        <v/>
      </c>
      <c r="C174" s="11">
        <f>IF($B174="","",INDEX('Yuri - Book'!$A:$A,$B174))</f>
        <v/>
      </c>
      <c r="D174" s="11">
        <f>IF($B174="","",INDEX('Yuri - Book'!$B:$B,$B174))</f>
        <v/>
      </c>
      <c r="E174" s="12">
        <f>IF($B174="","",INDEX('Yuri - Book'!$J:$J,$B174))</f>
        <v/>
      </c>
      <c r="F174" s="11">
        <f>IF($B174="","","Yuri")</f>
        <v/>
      </c>
      <c r="G174" s="11">
        <f>IF($B174="","",INDEX('Yuri - Book'!$C:$C,$B174))</f>
        <v/>
      </c>
      <c r="H174" s="11">
        <f>IF($B174="","",INDEX('Yuri - Book'!$D:$D,$B174))</f>
        <v/>
      </c>
      <c r="I174" s="11">
        <f>IF($B174="","",INDEX('Yuri - Book'!$E:$E,$B174))</f>
        <v/>
      </c>
      <c r="J174" s="11">
        <f>IF($B174="","",INDEX('Yuri - Book'!$F:$F,$B174))</f>
        <v/>
      </c>
      <c r="K174" s="11">
        <f>IF($B174="","",INDEX('Yuri - Book'!$K:$K,$B174))</f>
        <v/>
      </c>
      <c r="L174" s="13">
        <f>IF($B174="","",ROUND(INDEX('Yuri - Book'!$Q:$Q,$B174),0))</f>
        <v/>
      </c>
      <c r="M174" s="11">
        <f>IF($B174="","",INDEX('Yuri - Book'!$P:$P,$B174))</f>
        <v/>
      </c>
    </row>
    <row r="175">
      <c r="A175" s="11" t="b">
        <v>0</v>
      </c>
      <c r="B175" s="11">
        <f>IFERROR(MATCH(108,'Yuri - Book'!$V$4:$V$203,0)+4-1,"")</f>
        <v/>
      </c>
      <c r="C175" s="11">
        <f>IF($B175="","",INDEX('Yuri - Book'!$A:$A,$B175))</f>
        <v/>
      </c>
      <c r="D175" s="11">
        <f>IF($B175="","",INDEX('Yuri - Book'!$B:$B,$B175))</f>
        <v/>
      </c>
      <c r="E175" s="12">
        <f>IF($B175="","",INDEX('Yuri - Book'!$J:$J,$B175))</f>
        <v/>
      </c>
      <c r="F175" s="11">
        <f>IF($B175="","","Yuri")</f>
        <v/>
      </c>
      <c r="G175" s="11">
        <f>IF($B175="","",INDEX('Yuri - Book'!$C:$C,$B175))</f>
        <v/>
      </c>
      <c r="H175" s="11">
        <f>IF($B175="","",INDEX('Yuri - Book'!$D:$D,$B175))</f>
        <v/>
      </c>
      <c r="I175" s="11">
        <f>IF($B175="","",INDEX('Yuri - Book'!$E:$E,$B175))</f>
        <v/>
      </c>
      <c r="J175" s="11">
        <f>IF($B175="","",INDEX('Yuri - Book'!$F:$F,$B175))</f>
        <v/>
      </c>
      <c r="K175" s="11">
        <f>IF($B175="","",INDEX('Yuri - Book'!$K:$K,$B175))</f>
        <v/>
      </c>
      <c r="L175" s="13">
        <f>IF($B175="","",ROUND(INDEX('Yuri - Book'!$Q:$Q,$B175),0))</f>
        <v/>
      </c>
      <c r="M175" s="11">
        <f>IF($B175="","",INDEX('Yuri - Book'!$P:$P,$B175))</f>
        <v/>
      </c>
    </row>
    <row r="176">
      <c r="A176" s="11" t="b">
        <v>0</v>
      </c>
      <c r="B176" s="11">
        <f>IFERROR(MATCH(109,'Yuri - Book'!$V$4:$V$203,0)+4-1,"")</f>
        <v/>
      </c>
      <c r="C176" s="11">
        <f>IF($B176="","",INDEX('Yuri - Book'!$A:$A,$B176))</f>
        <v/>
      </c>
      <c r="D176" s="11">
        <f>IF($B176="","",INDEX('Yuri - Book'!$B:$B,$B176))</f>
        <v/>
      </c>
      <c r="E176" s="12">
        <f>IF($B176="","",INDEX('Yuri - Book'!$J:$J,$B176))</f>
        <v/>
      </c>
      <c r="F176" s="11">
        <f>IF($B176="","","Yuri")</f>
        <v/>
      </c>
      <c r="G176" s="11">
        <f>IF($B176="","",INDEX('Yuri - Book'!$C:$C,$B176))</f>
        <v/>
      </c>
      <c r="H176" s="11">
        <f>IF($B176="","",INDEX('Yuri - Book'!$D:$D,$B176))</f>
        <v/>
      </c>
      <c r="I176" s="11">
        <f>IF($B176="","",INDEX('Yuri - Book'!$E:$E,$B176))</f>
        <v/>
      </c>
      <c r="J176" s="11">
        <f>IF($B176="","",INDEX('Yuri - Book'!$F:$F,$B176))</f>
        <v/>
      </c>
      <c r="K176" s="11">
        <f>IF($B176="","",INDEX('Yuri - Book'!$K:$K,$B176))</f>
        <v/>
      </c>
      <c r="L176" s="13">
        <f>IF($B176="","",ROUND(INDEX('Yuri - Book'!$Q:$Q,$B176),0))</f>
        <v/>
      </c>
      <c r="M176" s="11">
        <f>IF($B176="","",INDEX('Yuri - Book'!$P:$P,$B176))</f>
        <v/>
      </c>
    </row>
    <row r="177">
      <c r="A177" s="11" t="b">
        <v>0</v>
      </c>
      <c r="B177" s="11">
        <f>IFERROR(MATCH(110,'Yuri - Book'!$V$4:$V$203,0)+4-1,"")</f>
        <v/>
      </c>
      <c r="C177" s="11">
        <f>IF($B177="","",INDEX('Yuri - Book'!$A:$A,$B177))</f>
        <v/>
      </c>
      <c r="D177" s="11">
        <f>IF($B177="","",INDEX('Yuri - Book'!$B:$B,$B177))</f>
        <v/>
      </c>
      <c r="E177" s="12">
        <f>IF($B177="","",INDEX('Yuri - Book'!$J:$J,$B177))</f>
        <v/>
      </c>
      <c r="F177" s="11">
        <f>IF($B177="","","Yuri")</f>
        <v/>
      </c>
      <c r="G177" s="11">
        <f>IF($B177="","",INDEX('Yuri - Book'!$C:$C,$B177))</f>
        <v/>
      </c>
      <c r="H177" s="11">
        <f>IF($B177="","",INDEX('Yuri - Book'!$D:$D,$B177))</f>
        <v/>
      </c>
      <c r="I177" s="11">
        <f>IF($B177="","",INDEX('Yuri - Book'!$E:$E,$B177))</f>
        <v/>
      </c>
      <c r="J177" s="11">
        <f>IF($B177="","",INDEX('Yuri - Book'!$F:$F,$B177))</f>
        <v/>
      </c>
      <c r="K177" s="11">
        <f>IF($B177="","",INDEX('Yuri - Book'!$K:$K,$B177))</f>
        <v/>
      </c>
      <c r="L177" s="13">
        <f>IF($B177="","",ROUND(INDEX('Yuri - Book'!$Q:$Q,$B177),0))</f>
        <v/>
      </c>
      <c r="M177" s="11">
        <f>IF($B177="","",INDEX('Yuri - Book'!$P:$P,$B177))</f>
        <v/>
      </c>
    </row>
    <row r="178">
      <c r="A178" s="11" t="b">
        <v>0</v>
      </c>
      <c r="B178" s="11">
        <f>IFERROR(MATCH(111,'Yuri - Book'!$V$4:$V$203,0)+4-1,"")</f>
        <v/>
      </c>
      <c r="C178" s="11">
        <f>IF($B178="","",INDEX('Yuri - Book'!$A:$A,$B178))</f>
        <v/>
      </c>
      <c r="D178" s="11">
        <f>IF($B178="","",INDEX('Yuri - Book'!$B:$B,$B178))</f>
        <v/>
      </c>
      <c r="E178" s="12">
        <f>IF($B178="","",INDEX('Yuri - Book'!$J:$J,$B178))</f>
        <v/>
      </c>
      <c r="F178" s="11">
        <f>IF($B178="","","Yuri")</f>
        <v/>
      </c>
      <c r="G178" s="11">
        <f>IF($B178="","",INDEX('Yuri - Book'!$C:$C,$B178))</f>
        <v/>
      </c>
      <c r="H178" s="11">
        <f>IF($B178="","",INDEX('Yuri - Book'!$D:$D,$B178))</f>
        <v/>
      </c>
      <c r="I178" s="11">
        <f>IF($B178="","",INDEX('Yuri - Book'!$E:$E,$B178))</f>
        <v/>
      </c>
      <c r="J178" s="11">
        <f>IF($B178="","",INDEX('Yuri - Book'!$F:$F,$B178))</f>
        <v/>
      </c>
      <c r="K178" s="11">
        <f>IF($B178="","",INDEX('Yuri - Book'!$K:$K,$B178))</f>
        <v/>
      </c>
      <c r="L178" s="13">
        <f>IF($B178="","",ROUND(INDEX('Yuri - Book'!$Q:$Q,$B178),0))</f>
        <v/>
      </c>
      <c r="M178" s="11">
        <f>IF($B178="","",INDEX('Yuri - Book'!$P:$P,$B178))</f>
        <v/>
      </c>
    </row>
    <row r="179">
      <c r="A179" s="11" t="b">
        <v>0</v>
      </c>
      <c r="B179" s="11">
        <f>IFERROR(MATCH(112,'Yuri - Book'!$V$4:$V$203,0)+4-1,"")</f>
        <v/>
      </c>
      <c r="C179" s="11">
        <f>IF($B179="","",INDEX('Yuri - Book'!$A:$A,$B179))</f>
        <v/>
      </c>
      <c r="D179" s="11">
        <f>IF($B179="","",INDEX('Yuri - Book'!$B:$B,$B179))</f>
        <v/>
      </c>
      <c r="E179" s="12">
        <f>IF($B179="","",INDEX('Yuri - Book'!$J:$J,$B179))</f>
        <v/>
      </c>
      <c r="F179" s="11">
        <f>IF($B179="","","Yuri")</f>
        <v/>
      </c>
      <c r="G179" s="11">
        <f>IF($B179="","",INDEX('Yuri - Book'!$C:$C,$B179))</f>
        <v/>
      </c>
      <c r="H179" s="11">
        <f>IF($B179="","",INDEX('Yuri - Book'!$D:$D,$B179))</f>
        <v/>
      </c>
      <c r="I179" s="11">
        <f>IF($B179="","",INDEX('Yuri - Book'!$E:$E,$B179))</f>
        <v/>
      </c>
      <c r="J179" s="11">
        <f>IF($B179="","",INDEX('Yuri - Book'!$F:$F,$B179))</f>
        <v/>
      </c>
      <c r="K179" s="11">
        <f>IF($B179="","",INDEX('Yuri - Book'!$K:$K,$B179))</f>
        <v/>
      </c>
      <c r="L179" s="13">
        <f>IF($B179="","",ROUND(INDEX('Yuri - Book'!$Q:$Q,$B179),0))</f>
        <v/>
      </c>
      <c r="M179" s="11">
        <f>IF($B179="","",INDEX('Yuri - Book'!$P:$P,$B179))</f>
        <v/>
      </c>
    </row>
    <row r="180">
      <c r="A180" s="11" t="b">
        <v>0</v>
      </c>
      <c r="B180" s="11">
        <f>IFERROR(MATCH(113,'Yuri - Book'!$V$4:$V$203,0)+4-1,"")</f>
        <v/>
      </c>
      <c r="C180" s="11">
        <f>IF($B180="","",INDEX('Yuri - Book'!$A:$A,$B180))</f>
        <v/>
      </c>
      <c r="D180" s="11">
        <f>IF($B180="","",INDEX('Yuri - Book'!$B:$B,$B180))</f>
        <v/>
      </c>
      <c r="E180" s="12">
        <f>IF($B180="","",INDEX('Yuri - Book'!$J:$J,$B180))</f>
        <v/>
      </c>
      <c r="F180" s="11">
        <f>IF($B180="","","Yuri")</f>
        <v/>
      </c>
      <c r="G180" s="11">
        <f>IF($B180="","",INDEX('Yuri - Book'!$C:$C,$B180))</f>
        <v/>
      </c>
      <c r="H180" s="11">
        <f>IF($B180="","",INDEX('Yuri - Book'!$D:$D,$B180))</f>
        <v/>
      </c>
      <c r="I180" s="11">
        <f>IF($B180="","",INDEX('Yuri - Book'!$E:$E,$B180))</f>
        <v/>
      </c>
      <c r="J180" s="11">
        <f>IF($B180="","",INDEX('Yuri - Book'!$F:$F,$B180))</f>
        <v/>
      </c>
      <c r="K180" s="11">
        <f>IF($B180="","",INDEX('Yuri - Book'!$K:$K,$B180))</f>
        <v/>
      </c>
      <c r="L180" s="13">
        <f>IF($B180="","",ROUND(INDEX('Yuri - Book'!$Q:$Q,$B180),0))</f>
        <v/>
      </c>
      <c r="M180" s="11">
        <f>IF($B180="","",INDEX('Yuri - Book'!$P:$P,$B180))</f>
        <v/>
      </c>
    </row>
    <row r="181">
      <c r="A181" s="11" t="b">
        <v>0</v>
      </c>
      <c r="B181" s="11">
        <f>IFERROR(MATCH(114,'Yuri - Book'!$V$4:$V$203,0)+4-1,"")</f>
        <v/>
      </c>
      <c r="C181" s="11">
        <f>IF($B181="","",INDEX('Yuri - Book'!$A:$A,$B181))</f>
        <v/>
      </c>
      <c r="D181" s="11">
        <f>IF($B181="","",INDEX('Yuri - Book'!$B:$B,$B181))</f>
        <v/>
      </c>
      <c r="E181" s="12">
        <f>IF($B181="","",INDEX('Yuri - Book'!$J:$J,$B181))</f>
        <v/>
      </c>
      <c r="F181" s="11">
        <f>IF($B181="","","Yuri")</f>
        <v/>
      </c>
      <c r="G181" s="11">
        <f>IF($B181="","",INDEX('Yuri - Book'!$C:$C,$B181))</f>
        <v/>
      </c>
      <c r="H181" s="11">
        <f>IF($B181="","",INDEX('Yuri - Book'!$D:$D,$B181))</f>
        <v/>
      </c>
      <c r="I181" s="11">
        <f>IF($B181="","",INDEX('Yuri - Book'!$E:$E,$B181))</f>
        <v/>
      </c>
      <c r="J181" s="11">
        <f>IF($B181="","",INDEX('Yuri - Book'!$F:$F,$B181))</f>
        <v/>
      </c>
      <c r="K181" s="11">
        <f>IF($B181="","",INDEX('Yuri - Book'!$K:$K,$B181))</f>
        <v/>
      </c>
      <c r="L181" s="13">
        <f>IF($B181="","",ROUND(INDEX('Yuri - Book'!$Q:$Q,$B181),0))</f>
        <v/>
      </c>
      <c r="M181" s="11">
        <f>IF($B181="","",INDEX('Yuri - Book'!$P:$P,$B181))</f>
        <v/>
      </c>
    </row>
    <row r="182">
      <c r="A182" s="11" t="b">
        <v>0</v>
      </c>
      <c r="B182" s="11">
        <f>IFERROR(MATCH(115,'Yuri - Book'!$V$4:$V$203,0)+4-1,"")</f>
        <v/>
      </c>
      <c r="C182" s="11">
        <f>IF($B182="","",INDEX('Yuri - Book'!$A:$A,$B182))</f>
        <v/>
      </c>
      <c r="D182" s="11">
        <f>IF($B182="","",INDEX('Yuri - Book'!$B:$B,$B182))</f>
        <v/>
      </c>
      <c r="E182" s="12">
        <f>IF($B182="","",INDEX('Yuri - Book'!$J:$J,$B182))</f>
        <v/>
      </c>
      <c r="F182" s="11">
        <f>IF($B182="","","Yuri")</f>
        <v/>
      </c>
      <c r="G182" s="11">
        <f>IF($B182="","",INDEX('Yuri - Book'!$C:$C,$B182))</f>
        <v/>
      </c>
      <c r="H182" s="11">
        <f>IF($B182="","",INDEX('Yuri - Book'!$D:$D,$B182))</f>
        <v/>
      </c>
      <c r="I182" s="11">
        <f>IF($B182="","",INDEX('Yuri - Book'!$E:$E,$B182))</f>
        <v/>
      </c>
      <c r="J182" s="11">
        <f>IF($B182="","",INDEX('Yuri - Book'!$F:$F,$B182))</f>
        <v/>
      </c>
      <c r="K182" s="11">
        <f>IF($B182="","",INDEX('Yuri - Book'!$K:$K,$B182))</f>
        <v/>
      </c>
      <c r="L182" s="13">
        <f>IF($B182="","",ROUND(INDEX('Yuri - Book'!$Q:$Q,$B182),0))</f>
        <v/>
      </c>
      <c r="M182" s="11">
        <f>IF($B182="","",INDEX('Yuri - Book'!$P:$P,$B182))</f>
        <v/>
      </c>
    </row>
    <row r="183">
      <c r="A183" s="11" t="b">
        <v>0</v>
      </c>
      <c r="B183" s="11">
        <f>IFERROR(MATCH(116,'Yuri - Book'!$V$4:$V$203,0)+4-1,"")</f>
        <v/>
      </c>
      <c r="C183" s="11">
        <f>IF($B183="","",INDEX('Yuri - Book'!$A:$A,$B183))</f>
        <v/>
      </c>
      <c r="D183" s="11">
        <f>IF($B183="","",INDEX('Yuri - Book'!$B:$B,$B183))</f>
        <v/>
      </c>
      <c r="E183" s="12">
        <f>IF($B183="","",INDEX('Yuri - Book'!$J:$J,$B183))</f>
        <v/>
      </c>
      <c r="F183" s="11">
        <f>IF($B183="","","Yuri")</f>
        <v/>
      </c>
      <c r="G183" s="11">
        <f>IF($B183="","",INDEX('Yuri - Book'!$C:$C,$B183))</f>
        <v/>
      </c>
      <c r="H183" s="11">
        <f>IF($B183="","",INDEX('Yuri - Book'!$D:$D,$B183))</f>
        <v/>
      </c>
      <c r="I183" s="11">
        <f>IF($B183="","",INDEX('Yuri - Book'!$E:$E,$B183))</f>
        <v/>
      </c>
      <c r="J183" s="11">
        <f>IF($B183="","",INDEX('Yuri - Book'!$F:$F,$B183))</f>
        <v/>
      </c>
      <c r="K183" s="11">
        <f>IF($B183="","",INDEX('Yuri - Book'!$K:$K,$B183))</f>
        <v/>
      </c>
      <c r="L183" s="13">
        <f>IF($B183="","",ROUND(INDEX('Yuri - Book'!$Q:$Q,$B183),0))</f>
        <v/>
      </c>
      <c r="M183" s="11">
        <f>IF($B183="","",INDEX('Yuri - Book'!$P:$P,$B183))</f>
        <v/>
      </c>
    </row>
    <row r="184">
      <c r="A184" s="11" t="b">
        <v>0</v>
      </c>
      <c r="B184" s="11">
        <f>IFERROR(MATCH(117,'Yuri - Book'!$V$4:$V$203,0)+4-1,"")</f>
        <v/>
      </c>
      <c r="C184" s="11">
        <f>IF($B184="","",INDEX('Yuri - Book'!$A:$A,$B184))</f>
        <v/>
      </c>
      <c r="D184" s="11">
        <f>IF($B184="","",INDEX('Yuri - Book'!$B:$B,$B184))</f>
        <v/>
      </c>
      <c r="E184" s="12">
        <f>IF($B184="","",INDEX('Yuri - Book'!$J:$J,$B184))</f>
        <v/>
      </c>
      <c r="F184" s="11">
        <f>IF($B184="","","Yuri")</f>
        <v/>
      </c>
      <c r="G184" s="11">
        <f>IF($B184="","",INDEX('Yuri - Book'!$C:$C,$B184))</f>
        <v/>
      </c>
      <c r="H184" s="11">
        <f>IF($B184="","",INDEX('Yuri - Book'!$D:$D,$B184))</f>
        <v/>
      </c>
      <c r="I184" s="11">
        <f>IF($B184="","",INDEX('Yuri - Book'!$E:$E,$B184))</f>
        <v/>
      </c>
      <c r="J184" s="11">
        <f>IF($B184="","",INDEX('Yuri - Book'!$F:$F,$B184))</f>
        <v/>
      </c>
      <c r="K184" s="11">
        <f>IF($B184="","",INDEX('Yuri - Book'!$K:$K,$B184))</f>
        <v/>
      </c>
      <c r="L184" s="13">
        <f>IF($B184="","",ROUND(INDEX('Yuri - Book'!$Q:$Q,$B184),0))</f>
        <v/>
      </c>
      <c r="M184" s="11">
        <f>IF($B184="","",INDEX('Yuri - Book'!$P:$P,$B184))</f>
        <v/>
      </c>
    </row>
    <row r="185">
      <c r="A185" s="11" t="b">
        <v>0</v>
      </c>
      <c r="B185" s="11">
        <f>IFERROR(MATCH(118,'Yuri - Book'!$V$4:$V$203,0)+4-1,"")</f>
        <v/>
      </c>
      <c r="C185" s="11">
        <f>IF($B185="","",INDEX('Yuri - Book'!$A:$A,$B185))</f>
        <v/>
      </c>
      <c r="D185" s="11">
        <f>IF($B185="","",INDEX('Yuri - Book'!$B:$B,$B185))</f>
        <v/>
      </c>
      <c r="E185" s="12">
        <f>IF($B185="","",INDEX('Yuri - Book'!$J:$J,$B185))</f>
        <v/>
      </c>
      <c r="F185" s="11">
        <f>IF($B185="","","Yuri")</f>
        <v/>
      </c>
      <c r="G185" s="11">
        <f>IF($B185="","",INDEX('Yuri - Book'!$C:$C,$B185))</f>
        <v/>
      </c>
      <c r="H185" s="11">
        <f>IF($B185="","",INDEX('Yuri - Book'!$D:$D,$B185))</f>
        <v/>
      </c>
      <c r="I185" s="11">
        <f>IF($B185="","",INDEX('Yuri - Book'!$E:$E,$B185))</f>
        <v/>
      </c>
      <c r="J185" s="11">
        <f>IF($B185="","",INDEX('Yuri - Book'!$F:$F,$B185))</f>
        <v/>
      </c>
      <c r="K185" s="11">
        <f>IF($B185="","",INDEX('Yuri - Book'!$K:$K,$B185))</f>
        <v/>
      </c>
      <c r="L185" s="13">
        <f>IF($B185="","",ROUND(INDEX('Yuri - Book'!$Q:$Q,$B185),0))</f>
        <v/>
      </c>
      <c r="M185" s="11">
        <f>IF($B185="","",INDEX('Yuri - Book'!$P:$P,$B185))</f>
        <v/>
      </c>
    </row>
    <row r="186">
      <c r="A186" s="11" t="b">
        <v>0</v>
      </c>
      <c r="B186" s="11">
        <f>IFERROR(MATCH(119,'Yuri - Book'!$V$4:$V$203,0)+4-1,"")</f>
        <v/>
      </c>
      <c r="C186" s="11">
        <f>IF($B186="","",INDEX('Yuri - Book'!$A:$A,$B186))</f>
        <v/>
      </c>
      <c r="D186" s="11">
        <f>IF($B186="","",INDEX('Yuri - Book'!$B:$B,$B186))</f>
        <v/>
      </c>
      <c r="E186" s="12">
        <f>IF($B186="","",INDEX('Yuri - Book'!$J:$J,$B186))</f>
        <v/>
      </c>
      <c r="F186" s="11">
        <f>IF($B186="","","Yuri")</f>
        <v/>
      </c>
      <c r="G186" s="11">
        <f>IF($B186="","",INDEX('Yuri - Book'!$C:$C,$B186))</f>
        <v/>
      </c>
      <c r="H186" s="11">
        <f>IF($B186="","",INDEX('Yuri - Book'!$D:$D,$B186))</f>
        <v/>
      </c>
      <c r="I186" s="11">
        <f>IF($B186="","",INDEX('Yuri - Book'!$E:$E,$B186))</f>
        <v/>
      </c>
      <c r="J186" s="11">
        <f>IF($B186="","",INDEX('Yuri - Book'!$F:$F,$B186))</f>
        <v/>
      </c>
      <c r="K186" s="11">
        <f>IF($B186="","",INDEX('Yuri - Book'!$K:$K,$B186))</f>
        <v/>
      </c>
      <c r="L186" s="13">
        <f>IF($B186="","",ROUND(INDEX('Yuri - Book'!$Q:$Q,$B186),0))</f>
        <v/>
      </c>
      <c r="M186" s="11">
        <f>IF($B186="","",INDEX('Yuri - Book'!$P:$P,$B186))</f>
        <v/>
      </c>
    </row>
    <row r="187">
      <c r="A187" s="11" t="b">
        <v>0</v>
      </c>
      <c r="B187" s="11">
        <f>IFERROR(MATCH(120,'Yuri - Book'!$V$4:$V$203,0)+4-1,"")</f>
        <v/>
      </c>
      <c r="C187" s="11">
        <f>IF($B187="","",INDEX('Yuri - Book'!$A:$A,$B187))</f>
        <v/>
      </c>
      <c r="D187" s="11">
        <f>IF($B187="","",INDEX('Yuri - Book'!$B:$B,$B187))</f>
        <v/>
      </c>
      <c r="E187" s="12">
        <f>IF($B187="","",INDEX('Yuri - Book'!$J:$J,$B187))</f>
        <v/>
      </c>
      <c r="F187" s="11">
        <f>IF($B187="","","Yuri")</f>
        <v/>
      </c>
      <c r="G187" s="11">
        <f>IF($B187="","",INDEX('Yuri - Book'!$C:$C,$B187))</f>
        <v/>
      </c>
      <c r="H187" s="11">
        <f>IF($B187="","",INDEX('Yuri - Book'!$D:$D,$B187))</f>
        <v/>
      </c>
      <c r="I187" s="11">
        <f>IF($B187="","",INDEX('Yuri - Book'!$E:$E,$B187))</f>
        <v/>
      </c>
      <c r="J187" s="11">
        <f>IF($B187="","",INDEX('Yuri - Book'!$F:$F,$B187))</f>
        <v/>
      </c>
      <c r="K187" s="11">
        <f>IF($B187="","",INDEX('Yuri - Book'!$K:$K,$B187))</f>
        <v/>
      </c>
      <c r="L187" s="13">
        <f>IF($B187="","",ROUND(INDEX('Yuri - Book'!$Q:$Q,$B187),0))</f>
        <v/>
      </c>
      <c r="M187" s="11">
        <f>IF($B187="","",INDEX('Yuri - Book'!$P:$P,$B187))</f>
        <v/>
      </c>
    </row>
    <row r="188">
      <c r="A188" s="11" t="b">
        <v>0</v>
      </c>
      <c r="B188" s="11">
        <f>IFERROR(MATCH(121,'Yuri - Book'!$V$4:$V$203,0)+4-1,"")</f>
        <v/>
      </c>
      <c r="C188" s="11">
        <f>IF($B188="","",INDEX('Yuri - Book'!$A:$A,$B188))</f>
        <v/>
      </c>
      <c r="D188" s="11">
        <f>IF($B188="","",INDEX('Yuri - Book'!$B:$B,$B188))</f>
        <v/>
      </c>
      <c r="E188" s="12">
        <f>IF($B188="","",INDEX('Yuri - Book'!$J:$J,$B188))</f>
        <v/>
      </c>
      <c r="F188" s="11">
        <f>IF($B188="","","Yuri")</f>
        <v/>
      </c>
      <c r="G188" s="11">
        <f>IF($B188="","",INDEX('Yuri - Book'!$C:$C,$B188))</f>
        <v/>
      </c>
      <c r="H188" s="11">
        <f>IF($B188="","",INDEX('Yuri - Book'!$D:$D,$B188))</f>
        <v/>
      </c>
      <c r="I188" s="11">
        <f>IF($B188="","",INDEX('Yuri - Book'!$E:$E,$B188))</f>
        <v/>
      </c>
      <c r="J188" s="11">
        <f>IF($B188="","",INDEX('Yuri - Book'!$F:$F,$B188))</f>
        <v/>
      </c>
      <c r="K188" s="11">
        <f>IF($B188="","",INDEX('Yuri - Book'!$K:$K,$B188))</f>
        <v/>
      </c>
      <c r="L188" s="13">
        <f>IF($B188="","",ROUND(INDEX('Yuri - Book'!$Q:$Q,$B188),0))</f>
        <v/>
      </c>
      <c r="M188" s="11">
        <f>IF($B188="","",INDEX('Yuri - Book'!$P:$P,$B188))</f>
        <v/>
      </c>
    </row>
    <row r="189">
      <c r="A189" s="11" t="b">
        <v>0</v>
      </c>
      <c r="B189" s="11">
        <f>IFERROR(MATCH(122,'Yuri - Book'!$V$4:$V$203,0)+4-1,"")</f>
        <v/>
      </c>
      <c r="C189" s="11">
        <f>IF($B189="","",INDEX('Yuri - Book'!$A:$A,$B189))</f>
        <v/>
      </c>
      <c r="D189" s="11">
        <f>IF($B189="","",INDEX('Yuri - Book'!$B:$B,$B189))</f>
        <v/>
      </c>
      <c r="E189" s="12">
        <f>IF($B189="","",INDEX('Yuri - Book'!$J:$J,$B189))</f>
        <v/>
      </c>
      <c r="F189" s="11">
        <f>IF($B189="","","Yuri")</f>
        <v/>
      </c>
      <c r="G189" s="11">
        <f>IF($B189="","",INDEX('Yuri - Book'!$C:$C,$B189))</f>
        <v/>
      </c>
      <c r="H189" s="11">
        <f>IF($B189="","",INDEX('Yuri - Book'!$D:$D,$B189))</f>
        <v/>
      </c>
      <c r="I189" s="11">
        <f>IF($B189="","",INDEX('Yuri - Book'!$E:$E,$B189))</f>
        <v/>
      </c>
      <c r="J189" s="11">
        <f>IF($B189="","",INDEX('Yuri - Book'!$F:$F,$B189))</f>
        <v/>
      </c>
      <c r="K189" s="11">
        <f>IF($B189="","",INDEX('Yuri - Book'!$K:$K,$B189))</f>
        <v/>
      </c>
      <c r="L189" s="13">
        <f>IF($B189="","",ROUND(INDEX('Yuri - Book'!$Q:$Q,$B189),0))</f>
        <v/>
      </c>
      <c r="M189" s="11">
        <f>IF($B189="","",INDEX('Yuri - Book'!$P:$P,$B189))</f>
        <v/>
      </c>
    </row>
    <row r="190">
      <c r="A190" s="11" t="b">
        <v>0</v>
      </c>
      <c r="B190" s="11">
        <f>IFERROR(MATCH(123,'Yuri - Book'!$V$4:$V$203,0)+4-1,"")</f>
        <v/>
      </c>
      <c r="C190" s="11">
        <f>IF($B190="","",INDEX('Yuri - Book'!$A:$A,$B190))</f>
        <v/>
      </c>
      <c r="D190" s="11">
        <f>IF($B190="","",INDEX('Yuri - Book'!$B:$B,$B190))</f>
        <v/>
      </c>
      <c r="E190" s="12">
        <f>IF($B190="","",INDEX('Yuri - Book'!$J:$J,$B190))</f>
        <v/>
      </c>
      <c r="F190" s="11">
        <f>IF($B190="","","Yuri")</f>
        <v/>
      </c>
      <c r="G190" s="11">
        <f>IF($B190="","",INDEX('Yuri - Book'!$C:$C,$B190))</f>
        <v/>
      </c>
      <c r="H190" s="11">
        <f>IF($B190="","",INDEX('Yuri - Book'!$D:$D,$B190))</f>
        <v/>
      </c>
      <c r="I190" s="11">
        <f>IF($B190="","",INDEX('Yuri - Book'!$E:$E,$B190))</f>
        <v/>
      </c>
      <c r="J190" s="11">
        <f>IF($B190="","",INDEX('Yuri - Book'!$F:$F,$B190))</f>
        <v/>
      </c>
      <c r="K190" s="11">
        <f>IF($B190="","",INDEX('Yuri - Book'!$K:$K,$B190))</f>
        <v/>
      </c>
      <c r="L190" s="13">
        <f>IF($B190="","",ROUND(INDEX('Yuri - Book'!$Q:$Q,$B190),0))</f>
        <v/>
      </c>
      <c r="M190" s="11">
        <f>IF($B190="","",INDEX('Yuri - Book'!$P:$P,$B190))</f>
        <v/>
      </c>
    </row>
    <row r="191">
      <c r="A191" s="11" t="b">
        <v>0</v>
      </c>
      <c r="B191" s="11">
        <f>IFERROR(MATCH(124,'Yuri - Book'!$V$4:$V$203,0)+4-1,"")</f>
        <v/>
      </c>
      <c r="C191" s="11">
        <f>IF($B191="","",INDEX('Yuri - Book'!$A:$A,$B191))</f>
        <v/>
      </c>
      <c r="D191" s="11">
        <f>IF($B191="","",INDEX('Yuri - Book'!$B:$B,$B191))</f>
        <v/>
      </c>
      <c r="E191" s="12">
        <f>IF($B191="","",INDEX('Yuri - Book'!$J:$J,$B191))</f>
        <v/>
      </c>
      <c r="F191" s="11">
        <f>IF($B191="","","Yuri")</f>
        <v/>
      </c>
      <c r="G191" s="11">
        <f>IF($B191="","",INDEX('Yuri - Book'!$C:$C,$B191))</f>
        <v/>
      </c>
      <c r="H191" s="11">
        <f>IF($B191="","",INDEX('Yuri - Book'!$D:$D,$B191))</f>
        <v/>
      </c>
      <c r="I191" s="11">
        <f>IF($B191="","",INDEX('Yuri - Book'!$E:$E,$B191))</f>
        <v/>
      </c>
      <c r="J191" s="11">
        <f>IF($B191="","",INDEX('Yuri - Book'!$F:$F,$B191))</f>
        <v/>
      </c>
      <c r="K191" s="11">
        <f>IF($B191="","",INDEX('Yuri - Book'!$K:$K,$B191))</f>
        <v/>
      </c>
      <c r="L191" s="13">
        <f>IF($B191="","",ROUND(INDEX('Yuri - Book'!$Q:$Q,$B191),0))</f>
        <v/>
      </c>
      <c r="M191" s="11">
        <f>IF($B191="","",INDEX('Yuri - Book'!$P:$P,$B191))</f>
        <v/>
      </c>
    </row>
    <row r="192">
      <c r="A192" s="11" t="b">
        <v>0</v>
      </c>
      <c r="B192" s="11">
        <f>IFERROR(MATCH(125,'Yuri - Book'!$V$4:$V$203,0)+4-1,"")</f>
        <v/>
      </c>
      <c r="C192" s="11">
        <f>IF($B192="","",INDEX('Yuri - Book'!$A:$A,$B192))</f>
        <v/>
      </c>
      <c r="D192" s="11">
        <f>IF($B192="","",INDEX('Yuri - Book'!$B:$B,$B192))</f>
        <v/>
      </c>
      <c r="E192" s="12">
        <f>IF($B192="","",INDEX('Yuri - Book'!$J:$J,$B192))</f>
        <v/>
      </c>
      <c r="F192" s="11">
        <f>IF($B192="","","Yuri")</f>
        <v/>
      </c>
      <c r="G192" s="11">
        <f>IF($B192="","",INDEX('Yuri - Book'!$C:$C,$B192))</f>
        <v/>
      </c>
      <c r="H192" s="11">
        <f>IF($B192="","",INDEX('Yuri - Book'!$D:$D,$B192))</f>
        <v/>
      </c>
      <c r="I192" s="11">
        <f>IF($B192="","",INDEX('Yuri - Book'!$E:$E,$B192))</f>
        <v/>
      </c>
      <c r="J192" s="11">
        <f>IF($B192="","",INDEX('Yuri - Book'!$F:$F,$B192))</f>
        <v/>
      </c>
      <c r="K192" s="11">
        <f>IF($B192="","",INDEX('Yuri - Book'!$K:$K,$B192))</f>
        <v/>
      </c>
      <c r="L192" s="13">
        <f>IF($B192="","",ROUND(INDEX('Yuri - Book'!$Q:$Q,$B192),0))</f>
        <v/>
      </c>
      <c r="M192" s="11">
        <f>IF($B192="","",INDEX('Yuri - Book'!$P:$P,$B192))</f>
        <v/>
      </c>
    </row>
    <row r="193">
      <c r="A193" s="11" t="b">
        <v>0</v>
      </c>
      <c r="B193" s="11">
        <f>IFERROR(MATCH(126,'Yuri - Book'!$V$4:$V$203,0)+4-1,"")</f>
        <v/>
      </c>
      <c r="C193" s="11">
        <f>IF($B193="","",INDEX('Yuri - Book'!$A:$A,$B193))</f>
        <v/>
      </c>
      <c r="D193" s="11">
        <f>IF($B193="","",INDEX('Yuri - Book'!$B:$B,$B193))</f>
        <v/>
      </c>
      <c r="E193" s="12">
        <f>IF($B193="","",INDEX('Yuri - Book'!$J:$J,$B193))</f>
        <v/>
      </c>
      <c r="F193" s="11">
        <f>IF($B193="","","Yuri")</f>
        <v/>
      </c>
      <c r="G193" s="11">
        <f>IF($B193="","",INDEX('Yuri - Book'!$C:$C,$B193))</f>
        <v/>
      </c>
      <c r="H193" s="11">
        <f>IF($B193="","",INDEX('Yuri - Book'!$D:$D,$B193))</f>
        <v/>
      </c>
      <c r="I193" s="11">
        <f>IF($B193="","",INDEX('Yuri - Book'!$E:$E,$B193))</f>
        <v/>
      </c>
      <c r="J193" s="11">
        <f>IF($B193="","",INDEX('Yuri - Book'!$F:$F,$B193))</f>
        <v/>
      </c>
      <c r="K193" s="11">
        <f>IF($B193="","",INDEX('Yuri - Book'!$K:$K,$B193))</f>
        <v/>
      </c>
      <c r="L193" s="13">
        <f>IF($B193="","",ROUND(INDEX('Yuri - Book'!$Q:$Q,$B193),0))</f>
        <v/>
      </c>
      <c r="M193" s="11">
        <f>IF($B193="","",INDEX('Yuri - Book'!$P:$P,$B193))</f>
        <v/>
      </c>
    </row>
    <row r="194">
      <c r="A194" s="11" t="b">
        <v>0</v>
      </c>
      <c r="B194" s="11">
        <f>IFERROR(MATCH(127,'Yuri - Book'!$V$4:$V$203,0)+4-1,"")</f>
        <v/>
      </c>
      <c r="C194" s="11">
        <f>IF($B194="","",INDEX('Yuri - Book'!$A:$A,$B194))</f>
        <v/>
      </c>
      <c r="D194" s="11">
        <f>IF($B194="","",INDEX('Yuri - Book'!$B:$B,$B194))</f>
        <v/>
      </c>
      <c r="E194" s="12">
        <f>IF($B194="","",INDEX('Yuri - Book'!$J:$J,$B194))</f>
        <v/>
      </c>
      <c r="F194" s="11">
        <f>IF($B194="","","Yuri")</f>
        <v/>
      </c>
      <c r="G194" s="11">
        <f>IF($B194="","",INDEX('Yuri - Book'!$C:$C,$B194))</f>
        <v/>
      </c>
      <c r="H194" s="11">
        <f>IF($B194="","",INDEX('Yuri - Book'!$D:$D,$B194))</f>
        <v/>
      </c>
      <c r="I194" s="11">
        <f>IF($B194="","",INDEX('Yuri - Book'!$E:$E,$B194))</f>
        <v/>
      </c>
      <c r="J194" s="11">
        <f>IF($B194="","",INDEX('Yuri - Book'!$F:$F,$B194))</f>
        <v/>
      </c>
      <c r="K194" s="11">
        <f>IF($B194="","",INDEX('Yuri - Book'!$K:$K,$B194))</f>
        <v/>
      </c>
      <c r="L194" s="13">
        <f>IF($B194="","",ROUND(INDEX('Yuri - Book'!$Q:$Q,$B194),0))</f>
        <v/>
      </c>
      <c r="M194" s="11">
        <f>IF($B194="","",INDEX('Yuri - Book'!$P:$P,$B194))</f>
        <v/>
      </c>
    </row>
    <row r="195">
      <c r="A195" s="11" t="b">
        <v>0</v>
      </c>
      <c r="B195" s="11">
        <f>IFERROR(MATCH(128,'Yuri - Book'!$V$4:$V$203,0)+4-1,"")</f>
        <v/>
      </c>
      <c r="C195" s="11">
        <f>IF($B195="","",INDEX('Yuri - Book'!$A:$A,$B195))</f>
        <v/>
      </c>
      <c r="D195" s="11">
        <f>IF($B195="","",INDEX('Yuri - Book'!$B:$B,$B195))</f>
        <v/>
      </c>
      <c r="E195" s="12">
        <f>IF($B195="","",INDEX('Yuri - Book'!$J:$J,$B195))</f>
        <v/>
      </c>
      <c r="F195" s="11">
        <f>IF($B195="","","Yuri")</f>
        <v/>
      </c>
      <c r="G195" s="11">
        <f>IF($B195="","",INDEX('Yuri - Book'!$C:$C,$B195))</f>
        <v/>
      </c>
      <c r="H195" s="11">
        <f>IF($B195="","",INDEX('Yuri - Book'!$D:$D,$B195))</f>
        <v/>
      </c>
      <c r="I195" s="11">
        <f>IF($B195="","",INDEX('Yuri - Book'!$E:$E,$B195))</f>
        <v/>
      </c>
      <c r="J195" s="11">
        <f>IF($B195="","",INDEX('Yuri - Book'!$F:$F,$B195))</f>
        <v/>
      </c>
      <c r="K195" s="11">
        <f>IF($B195="","",INDEX('Yuri - Book'!$K:$K,$B195))</f>
        <v/>
      </c>
      <c r="L195" s="13">
        <f>IF($B195="","",ROUND(INDEX('Yuri - Book'!$Q:$Q,$B195),0))</f>
        <v/>
      </c>
      <c r="M195" s="11">
        <f>IF($B195="","",INDEX('Yuri - Book'!$P:$P,$B195))</f>
        <v/>
      </c>
    </row>
    <row r="196">
      <c r="A196" s="11" t="b">
        <v>0</v>
      </c>
      <c r="B196" s="11">
        <f>IFERROR(MATCH(129,'Yuri - Book'!$V$4:$V$203,0)+4-1,"")</f>
        <v/>
      </c>
      <c r="C196" s="11">
        <f>IF($B196="","",INDEX('Yuri - Book'!$A:$A,$B196))</f>
        <v/>
      </c>
      <c r="D196" s="11">
        <f>IF($B196="","",INDEX('Yuri - Book'!$B:$B,$B196))</f>
        <v/>
      </c>
      <c r="E196" s="12">
        <f>IF($B196="","",INDEX('Yuri - Book'!$J:$J,$B196))</f>
        <v/>
      </c>
      <c r="F196" s="11">
        <f>IF($B196="","","Yuri")</f>
        <v/>
      </c>
      <c r="G196" s="11">
        <f>IF($B196="","",INDEX('Yuri - Book'!$C:$C,$B196))</f>
        <v/>
      </c>
      <c r="H196" s="11">
        <f>IF($B196="","",INDEX('Yuri - Book'!$D:$D,$B196))</f>
        <v/>
      </c>
      <c r="I196" s="11">
        <f>IF($B196="","",INDEX('Yuri - Book'!$E:$E,$B196))</f>
        <v/>
      </c>
      <c r="J196" s="11">
        <f>IF($B196="","",INDEX('Yuri - Book'!$F:$F,$B196))</f>
        <v/>
      </c>
      <c r="K196" s="11">
        <f>IF($B196="","",INDEX('Yuri - Book'!$K:$K,$B196))</f>
        <v/>
      </c>
      <c r="L196" s="13">
        <f>IF($B196="","",ROUND(INDEX('Yuri - Book'!$Q:$Q,$B196),0))</f>
        <v/>
      </c>
      <c r="M196" s="11">
        <f>IF($B196="","",INDEX('Yuri - Book'!$P:$P,$B196))</f>
        <v/>
      </c>
    </row>
    <row r="197">
      <c r="A197" s="11" t="b">
        <v>0</v>
      </c>
      <c r="B197" s="11">
        <f>IFERROR(MATCH(130,'Yuri - Book'!$V$4:$V$203,0)+4-1,"")</f>
        <v/>
      </c>
      <c r="C197" s="11">
        <f>IF($B197="","",INDEX('Yuri - Book'!$A:$A,$B197))</f>
        <v/>
      </c>
      <c r="D197" s="11">
        <f>IF($B197="","",INDEX('Yuri - Book'!$B:$B,$B197))</f>
        <v/>
      </c>
      <c r="E197" s="12">
        <f>IF($B197="","",INDEX('Yuri - Book'!$J:$J,$B197))</f>
        <v/>
      </c>
      <c r="F197" s="11">
        <f>IF($B197="","","Yuri")</f>
        <v/>
      </c>
      <c r="G197" s="11">
        <f>IF($B197="","",INDEX('Yuri - Book'!$C:$C,$B197))</f>
        <v/>
      </c>
      <c r="H197" s="11">
        <f>IF($B197="","",INDEX('Yuri - Book'!$D:$D,$B197))</f>
        <v/>
      </c>
      <c r="I197" s="11">
        <f>IF($B197="","",INDEX('Yuri - Book'!$E:$E,$B197))</f>
        <v/>
      </c>
      <c r="J197" s="11">
        <f>IF($B197="","",INDEX('Yuri - Book'!$F:$F,$B197))</f>
        <v/>
      </c>
      <c r="K197" s="11">
        <f>IF($B197="","",INDEX('Yuri - Book'!$K:$K,$B197))</f>
        <v/>
      </c>
      <c r="L197" s="13">
        <f>IF($B197="","",ROUND(INDEX('Yuri - Book'!$Q:$Q,$B197),0))</f>
        <v/>
      </c>
      <c r="M197" s="11">
        <f>IF($B197="","",INDEX('Yuri - Book'!$P:$P,$B197))</f>
        <v/>
      </c>
    </row>
    <row r="198">
      <c r="A198" s="11" t="b">
        <v>0</v>
      </c>
      <c r="B198" s="11">
        <f>IFERROR(MATCH(131,'Yuri - Book'!$V$4:$V$203,0)+4-1,"")</f>
        <v/>
      </c>
      <c r="C198" s="11">
        <f>IF($B198="","",INDEX('Yuri - Book'!$A:$A,$B198))</f>
        <v/>
      </c>
      <c r="D198" s="11">
        <f>IF($B198="","",INDEX('Yuri - Book'!$B:$B,$B198))</f>
        <v/>
      </c>
      <c r="E198" s="12">
        <f>IF($B198="","",INDEX('Yuri - Book'!$J:$J,$B198))</f>
        <v/>
      </c>
      <c r="F198" s="11">
        <f>IF($B198="","","Yuri")</f>
        <v/>
      </c>
      <c r="G198" s="11">
        <f>IF($B198="","",INDEX('Yuri - Book'!$C:$C,$B198))</f>
        <v/>
      </c>
      <c r="H198" s="11">
        <f>IF($B198="","",INDEX('Yuri - Book'!$D:$D,$B198))</f>
        <v/>
      </c>
      <c r="I198" s="11">
        <f>IF($B198="","",INDEX('Yuri - Book'!$E:$E,$B198))</f>
        <v/>
      </c>
      <c r="J198" s="11">
        <f>IF($B198="","",INDEX('Yuri - Book'!$F:$F,$B198))</f>
        <v/>
      </c>
      <c r="K198" s="11">
        <f>IF($B198="","",INDEX('Yuri - Book'!$K:$K,$B198))</f>
        <v/>
      </c>
      <c r="L198" s="13">
        <f>IF($B198="","",ROUND(INDEX('Yuri - Book'!$Q:$Q,$B198),0))</f>
        <v/>
      </c>
      <c r="M198" s="11">
        <f>IF($B198="","",INDEX('Yuri - Book'!$P:$P,$B198))</f>
        <v/>
      </c>
    </row>
    <row r="199">
      <c r="A199" s="11" t="b">
        <v>0</v>
      </c>
      <c r="B199" s="11">
        <f>IFERROR(MATCH(132,'Yuri - Book'!$V$4:$V$203,0)+4-1,"")</f>
        <v/>
      </c>
      <c r="C199" s="11">
        <f>IF($B199="","",INDEX('Yuri - Book'!$A:$A,$B199))</f>
        <v/>
      </c>
      <c r="D199" s="11">
        <f>IF($B199="","",INDEX('Yuri - Book'!$B:$B,$B199))</f>
        <v/>
      </c>
      <c r="E199" s="12">
        <f>IF($B199="","",INDEX('Yuri - Book'!$J:$J,$B199))</f>
        <v/>
      </c>
      <c r="F199" s="11">
        <f>IF($B199="","","Yuri")</f>
        <v/>
      </c>
      <c r="G199" s="11">
        <f>IF($B199="","",INDEX('Yuri - Book'!$C:$C,$B199))</f>
        <v/>
      </c>
      <c r="H199" s="11">
        <f>IF($B199="","",INDEX('Yuri - Book'!$D:$D,$B199))</f>
        <v/>
      </c>
      <c r="I199" s="11">
        <f>IF($B199="","",INDEX('Yuri - Book'!$E:$E,$B199))</f>
        <v/>
      </c>
      <c r="J199" s="11">
        <f>IF($B199="","",INDEX('Yuri - Book'!$F:$F,$B199))</f>
        <v/>
      </c>
      <c r="K199" s="11">
        <f>IF($B199="","",INDEX('Yuri - Book'!$K:$K,$B199))</f>
        <v/>
      </c>
      <c r="L199" s="13">
        <f>IF($B199="","",ROUND(INDEX('Yuri - Book'!$Q:$Q,$B199),0))</f>
        <v/>
      </c>
      <c r="M199" s="11">
        <f>IF($B199="","",INDEX('Yuri - Book'!$P:$P,$B199))</f>
        <v/>
      </c>
    </row>
    <row r="200">
      <c r="A200" s="11" t="b">
        <v>0</v>
      </c>
      <c r="B200" s="11">
        <f>IFERROR(MATCH(133,'Yuri - Book'!$V$4:$V$203,0)+4-1,"")</f>
        <v/>
      </c>
      <c r="C200" s="11">
        <f>IF($B200="","",INDEX('Yuri - Book'!$A:$A,$B200))</f>
        <v/>
      </c>
      <c r="D200" s="11">
        <f>IF($B200="","",INDEX('Yuri - Book'!$B:$B,$B200))</f>
        <v/>
      </c>
      <c r="E200" s="12">
        <f>IF($B200="","",INDEX('Yuri - Book'!$J:$J,$B200))</f>
        <v/>
      </c>
      <c r="F200" s="11">
        <f>IF($B200="","","Yuri")</f>
        <v/>
      </c>
      <c r="G200" s="11">
        <f>IF($B200="","",INDEX('Yuri - Book'!$C:$C,$B200))</f>
        <v/>
      </c>
      <c r="H200" s="11">
        <f>IF($B200="","",INDEX('Yuri - Book'!$D:$D,$B200))</f>
        <v/>
      </c>
      <c r="I200" s="11">
        <f>IF($B200="","",INDEX('Yuri - Book'!$E:$E,$B200))</f>
        <v/>
      </c>
      <c r="J200" s="11">
        <f>IF($B200="","",INDEX('Yuri - Book'!$F:$F,$B200))</f>
        <v/>
      </c>
      <c r="K200" s="11">
        <f>IF($B200="","",INDEX('Yuri - Book'!$K:$K,$B200))</f>
        <v/>
      </c>
      <c r="L200" s="13">
        <f>IF($B200="","",ROUND(INDEX('Yuri - Book'!$Q:$Q,$B200),0))</f>
        <v/>
      </c>
      <c r="M200" s="11">
        <f>IF($B200="","",INDEX('Yuri - Book'!$P:$P,$B200))</f>
        <v/>
      </c>
    </row>
    <row r="201">
      <c r="A201" s="11" t="b">
        <v>0</v>
      </c>
      <c r="B201" s="11">
        <f>IFERROR(MATCH(134,'Yuri - Book'!$V$4:$V$203,0)+4-1,"")</f>
        <v/>
      </c>
      <c r="C201" s="11">
        <f>IF($B201="","",INDEX('Yuri - Book'!$A:$A,$B201))</f>
        <v/>
      </c>
      <c r="D201" s="11">
        <f>IF($B201="","",INDEX('Yuri - Book'!$B:$B,$B201))</f>
        <v/>
      </c>
      <c r="E201" s="12">
        <f>IF($B201="","",INDEX('Yuri - Book'!$J:$J,$B201))</f>
        <v/>
      </c>
      <c r="F201" s="11">
        <f>IF($B201="","","Yuri")</f>
        <v/>
      </c>
      <c r="G201" s="11">
        <f>IF($B201="","",INDEX('Yuri - Book'!$C:$C,$B201))</f>
        <v/>
      </c>
      <c r="H201" s="11">
        <f>IF($B201="","",INDEX('Yuri - Book'!$D:$D,$B201))</f>
        <v/>
      </c>
      <c r="I201" s="11">
        <f>IF($B201="","",INDEX('Yuri - Book'!$E:$E,$B201))</f>
        <v/>
      </c>
      <c r="J201" s="11">
        <f>IF($B201="","",INDEX('Yuri - Book'!$F:$F,$B201))</f>
        <v/>
      </c>
      <c r="K201" s="11">
        <f>IF($B201="","",INDEX('Yuri - Book'!$K:$K,$B201))</f>
        <v/>
      </c>
      <c r="L201" s="13">
        <f>IF($B201="","",ROUND(INDEX('Yuri - Book'!$Q:$Q,$B201),0))</f>
        <v/>
      </c>
      <c r="M201" s="11">
        <f>IF($B201="","",INDEX('Yuri - Book'!$P:$P,$B201))</f>
        <v/>
      </c>
    </row>
    <row r="202">
      <c r="A202" s="11" t="b">
        <v>0</v>
      </c>
      <c r="B202" s="11">
        <f>IFERROR(MATCH(135,'Yuri - Book'!$V$4:$V$203,0)+4-1,"")</f>
        <v/>
      </c>
      <c r="C202" s="11">
        <f>IF($B202="","",INDEX('Yuri - Book'!$A:$A,$B202))</f>
        <v/>
      </c>
      <c r="D202" s="11">
        <f>IF($B202="","",INDEX('Yuri - Book'!$B:$B,$B202))</f>
        <v/>
      </c>
      <c r="E202" s="12">
        <f>IF($B202="","",INDEX('Yuri - Book'!$J:$J,$B202))</f>
        <v/>
      </c>
      <c r="F202" s="11">
        <f>IF($B202="","","Yuri")</f>
        <v/>
      </c>
      <c r="G202" s="11">
        <f>IF($B202="","",INDEX('Yuri - Book'!$C:$C,$B202))</f>
        <v/>
      </c>
      <c r="H202" s="11">
        <f>IF($B202="","",INDEX('Yuri - Book'!$D:$D,$B202))</f>
        <v/>
      </c>
      <c r="I202" s="11">
        <f>IF($B202="","",INDEX('Yuri - Book'!$E:$E,$B202))</f>
        <v/>
      </c>
      <c r="J202" s="11">
        <f>IF($B202="","",INDEX('Yuri - Book'!$F:$F,$B202))</f>
        <v/>
      </c>
      <c r="K202" s="11">
        <f>IF($B202="","",INDEX('Yuri - Book'!$K:$K,$B202))</f>
        <v/>
      </c>
      <c r="L202" s="13">
        <f>IF($B202="","",ROUND(INDEX('Yuri - Book'!$Q:$Q,$B202),0))</f>
        <v/>
      </c>
      <c r="M202" s="11">
        <f>IF($B202="","",INDEX('Yuri - Book'!$P:$P,$B202))</f>
        <v/>
      </c>
    </row>
    <row r="203">
      <c r="A203" s="11" t="b">
        <v>0</v>
      </c>
      <c r="B203" s="11">
        <f>IFERROR(MATCH(136,'Yuri - Book'!$V$4:$V$203,0)+4-1,"")</f>
        <v/>
      </c>
      <c r="C203" s="11">
        <f>IF($B203="","",INDEX('Yuri - Book'!$A:$A,$B203))</f>
        <v/>
      </c>
      <c r="D203" s="11">
        <f>IF($B203="","",INDEX('Yuri - Book'!$B:$B,$B203))</f>
        <v/>
      </c>
      <c r="E203" s="12">
        <f>IF($B203="","",INDEX('Yuri - Book'!$J:$J,$B203))</f>
        <v/>
      </c>
      <c r="F203" s="11">
        <f>IF($B203="","","Yuri")</f>
        <v/>
      </c>
      <c r="G203" s="11">
        <f>IF($B203="","",INDEX('Yuri - Book'!$C:$C,$B203))</f>
        <v/>
      </c>
      <c r="H203" s="11">
        <f>IF($B203="","",INDEX('Yuri - Book'!$D:$D,$B203))</f>
        <v/>
      </c>
      <c r="I203" s="11">
        <f>IF($B203="","",INDEX('Yuri - Book'!$E:$E,$B203))</f>
        <v/>
      </c>
      <c r="J203" s="11">
        <f>IF($B203="","",INDEX('Yuri - Book'!$F:$F,$B203))</f>
        <v/>
      </c>
      <c r="K203" s="11">
        <f>IF($B203="","",INDEX('Yuri - Book'!$K:$K,$B203))</f>
        <v/>
      </c>
      <c r="L203" s="13">
        <f>IF($B203="","",ROUND(INDEX('Yuri - Book'!$Q:$Q,$B203),0))</f>
        <v/>
      </c>
      <c r="M203" s="11">
        <f>IF($B203="","",INDEX('Yuri - Book'!$P:$P,$B203))</f>
        <v/>
      </c>
    </row>
    <row r="204">
      <c r="A204" s="11" t="b">
        <v>0</v>
      </c>
      <c r="B204" s="11">
        <f>IFERROR(MATCH(137,'Yuri - Book'!$V$4:$V$203,0)+4-1,"")</f>
        <v/>
      </c>
      <c r="C204" s="11">
        <f>IF($B204="","",INDEX('Yuri - Book'!$A:$A,$B204))</f>
        <v/>
      </c>
      <c r="D204" s="11">
        <f>IF($B204="","",INDEX('Yuri - Book'!$B:$B,$B204))</f>
        <v/>
      </c>
      <c r="E204" s="12">
        <f>IF($B204="","",INDEX('Yuri - Book'!$J:$J,$B204))</f>
        <v/>
      </c>
      <c r="F204" s="11">
        <f>IF($B204="","","Yuri")</f>
        <v/>
      </c>
      <c r="G204" s="11">
        <f>IF($B204="","",INDEX('Yuri - Book'!$C:$C,$B204))</f>
        <v/>
      </c>
      <c r="H204" s="11">
        <f>IF($B204="","",INDEX('Yuri - Book'!$D:$D,$B204))</f>
        <v/>
      </c>
      <c r="I204" s="11">
        <f>IF($B204="","",INDEX('Yuri - Book'!$E:$E,$B204))</f>
        <v/>
      </c>
      <c r="J204" s="11">
        <f>IF($B204="","",INDEX('Yuri - Book'!$F:$F,$B204))</f>
        <v/>
      </c>
      <c r="K204" s="11">
        <f>IF($B204="","",INDEX('Yuri - Book'!$K:$K,$B204))</f>
        <v/>
      </c>
      <c r="L204" s="13">
        <f>IF($B204="","",ROUND(INDEX('Yuri - Book'!$Q:$Q,$B204),0))</f>
        <v/>
      </c>
      <c r="M204" s="11">
        <f>IF($B204="","",INDEX('Yuri - Book'!$P:$P,$B204))</f>
        <v/>
      </c>
    </row>
    <row r="205">
      <c r="A205" s="11" t="b">
        <v>0</v>
      </c>
      <c r="B205" s="11">
        <f>IFERROR(MATCH(138,'Yuri - Book'!$V$4:$V$203,0)+4-1,"")</f>
        <v/>
      </c>
      <c r="C205" s="11">
        <f>IF($B205="","",INDEX('Yuri - Book'!$A:$A,$B205))</f>
        <v/>
      </c>
      <c r="D205" s="11">
        <f>IF($B205="","",INDEX('Yuri - Book'!$B:$B,$B205))</f>
        <v/>
      </c>
      <c r="E205" s="12">
        <f>IF($B205="","",INDEX('Yuri - Book'!$J:$J,$B205))</f>
        <v/>
      </c>
      <c r="F205" s="11">
        <f>IF($B205="","","Yuri")</f>
        <v/>
      </c>
      <c r="G205" s="11">
        <f>IF($B205="","",INDEX('Yuri - Book'!$C:$C,$B205))</f>
        <v/>
      </c>
      <c r="H205" s="11">
        <f>IF($B205="","",INDEX('Yuri - Book'!$D:$D,$B205))</f>
        <v/>
      </c>
      <c r="I205" s="11">
        <f>IF($B205="","",INDEX('Yuri - Book'!$E:$E,$B205))</f>
        <v/>
      </c>
      <c r="J205" s="11">
        <f>IF($B205="","",INDEX('Yuri - Book'!$F:$F,$B205))</f>
        <v/>
      </c>
      <c r="K205" s="11">
        <f>IF($B205="","",INDEX('Yuri - Book'!$K:$K,$B205))</f>
        <v/>
      </c>
      <c r="L205" s="13">
        <f>IF($B205="","",ROUND(INDEX('Yuri - Book'!$Q:$Q,$B205),0))</f>
        <v/>
      </c>
      <c r="M205" s="11">
        <f>IF($B205="","",INDEX('Yuri - Book'!$P:$P,$B205))</f>
        <v/>
      </c>
    </row>
    <row r="206">
      <c r="A206" s="11" t="b">
        <v>0</v>
      </c>
      <c r="B206" s="11">
        <f>IFERROR(MATCH(139,'Yuri - Book'!$V$4:$V$203,0)+4-1,"")</f>
        <v/>
      </c>
      <c r="C206" s="11">
        <f>IF($B206="","",INDEX('Yuri - Book'!$A:$A,$B206))</f>
        <v/>
      </c>
      <c r="D206" s="11">
        <f>IF($B206="","",INDEX('Yuri - Book'!$B:$B,$B206))</f>
        <v/>
      </c>
      <c r="E206" s="12">
        <f>IF($B206="","",INDEX('Yuri - Book'!$J:$J,$B206))</f>
        <v/>
      </c>
      <c r="F206" s="11">
        <f>IF($B206="","","Yuri")</f>
        <v/>
      </c>
      <c r="G206" s="11">
        <f>IF($B206="","",INDEX('Yuri - Book'!$C:$C,$B206))</f>
        <v/>
      </c>
      <c r="H206" s="11">
        <f>IF($B206="","",INDEX('Yuri - Book'!$D:$D,$B206))</f>
        <v/>
      </c>
      <c r="I206" s="11">
        <f>IF($B206="","",INDEX('Yuri - Book'!$E:$E,$B206))</f>
        <v/>
      </c>
      <c r="J206" s="11">
        <f>IF($B206="","",INDEX('Yuri - Book'!$F:$F,$B206))</f>
        <v/>
      </c>
      <c r="K206" s="11">
        <f>IF($B206="","",INDEX('Yuri - Book'!$K:$K,$B206))</f>
        <v/>
      </c>
      <c r="L206" s="13">
        <f>IF($B206="","",ROUND(INDEX('Yuri - Book'!$Q:$Q,$B206),0))</f>
        <v/>
      </c>
      <c r="M206" s="11">
        <f>IF($B206="","",INDEX('Yuri - Book'!$P:$P,$B206))</f>
        <v/>
      </c>
    </row>
    <row r="207">
      <c r="A207" s="11" t="b">
        <v>0</v>
      </c>
      <c r="B207" s="11">
        <f>IFERROR(MATCH(140,'Yuri - Book'!$V$4:$V$203,0)+4-1,"")</f>
        <v/>
      </c>
      <c r="C207" s="11">
        <f>IF($B207="","",INDEX('Yuri - Book'!$A:$A,$B207))</f>
        <v/>
      </c>
      <c r="D207" s="11">
        <f>IF($B207="","",INDEX('Yuri - Book'!$B:$B,$B207))</f>
        <v/>
      </c>
      <c r="E207" s="12">
        <f>IF($B207="","",INDEX('Yuri - Book'!$J:$J,$B207))</f>
        <v/>
      </c>
      <c r="F207" s="11">
        <f>IF($B207="","","Yuri")</f>
        <v/>
      </c>
      <c r="G207" s="11">
        <f>IF($B207="","",INDEX('Yuri - Book'!$C:$C,$B207))</f>
        <v/>
      </c>
      <c r="H207" s="11">
        <f>IF($B207="","",INDEX('Yuri - Book'!$D:$D,$B207))</f>
        <v/>
      </c>
      <c r="I207" s="11">
        <f>IF($B207="","",INDEX('Yuri - Book'!$E:$E,$B207))</f>
        <v/>
      </c>
      <c r="J207" s="11">
        <f>IF($B207="","",INDEX('Yuri - Book'!$F:$F,$B207))</f>
        <v/>
      </c>
      <c r="K207" s="11">
        <f>IF($B207="","",INDEX('Yuri - Book'!$K:$K,$B207))</f>
        <v/>
      </c>
      <c r="L207" s="13">
        <f>IF($B207="","",ROUND(INDEX('Yuri - Book'!$Q:$Q,$B207),0))</f>
        <v/>
      </c>
      <c r="M207" s="11">
        <f>IF($B207="","",INDEX('Yuri - Book'!$P:$P,$B207))</f>
        <v/>
      </c>
    </row>
    <row r="208">
      <c r="A208" s="11" t="b">
        <v>0</v>
      </c>
      <c r="B208" s="11">
        <f>IFERROR(MATCH(141,'Yuri - Book'!$V$4:$V$203,0)+4-1,"")</f>
        <v/>
      </c>
      <c r="C208" s="11">
        <f>IF($B208="","",INDEX('Yuri - Book'!$A:$A,$B208))</f>
        <v/>
      </c>
      <c r="D208" s="11">
        <f>IF($B208="","",INDEX('Yuri - Book'!$B:$B,$B208))</f>
        <v/>
      </c>
      <c r="E208" s="12">
        <f>IF($B208="","",INDEX('Yuri - Book'!$J:$J,$B208))</f>
        <v/>
      </c>
      <c r="F208" s="11">
        <f>IF($B208="","","Yuri")</f>
        <v/>
      </c>
      <c r="G208" s="11">
        <f>IF($B208="","",INDEX('Yuri - Book'!$C:$C,$B208))</f>
        <v/>
      </c>
      <c r="H208" s="11">
        <f>IF($B208="","",INDEX('Yuri - Book'!$D:$D,$B208))</f>
        <v/>
      </c>
      <c r="I208" s="11">
        <f>IF($B208="","",INDEX('Yuri - Book'!$E:$E,$B208))</f>
        <v/>
      </c>
      <c r="J208" s="11">
        <f>IF($B208="","",INDEX('Yuri - Book'!$F:$F,$B208))</f>
        <v/>
      </c>
      <c r="K208" s="11">
        <f>IF($B208="","",INDEX('Yuri - Book'!$K:$K,$B208))</f>
        <v/>
      </c>
      <c r="L208" s="13">
        <f>IF($B208="","",ROUND(INDEX('Yuri - Book'!$Q:$Q,$B208),0))</f>
        <v/>
      </c>
      <c r="M208" s="11">
        <f>IF($B208="","",INDEX('Yuri - Book'!$P:$P,$B208))</f>
        <v/>
      </c>
    </row>
    <row r="209">
      <c r="A209" s="11" t="b">
        <v>0</v>
      </c>
      <c r="B209" s="11">
        <f>IFERROR(MATCH(142,'Yuri - Book'!$V$4:$V$203,0)+4-1,"")</f>
        <v/>
      </c>
      <c r="C209" s="11">
        <f>IF($B209="","",INDEX('Yuri - Book'!$A:$A,$B209))</f>
        <v/>
      </c>
      <c r="D209" s="11">
        <f>IF($B209="","",INDEX('Yuri - Book'!$B:$B,$B209))</f>
        <v/>
      </c>
      <c r="E209" s="12">
        <f>IF($B209="","",INDEX('Yuri - Book'!$J:$J,$B209))</f>
        <v/>
      </c>
      <c r="F209" s="11">
        <f>IF($B209="","","Yuri")</f>
        <v/>
      </c>
      <c r="G209" s="11">
        <f>IF($B209="","",INDEX('Yuri - Book'!$C:$C,$B209))</f>
        <v/>
      </c>
      <c r="H209" s="11">
        <f>IF($B209="","",INDEX('Yuri - Book'!$D:$D,$B209))</f>
        <v/>
      </c>
      <c r="I209" s="11">
        <f>IF($B209="","",INDEX('Yuri - Book'!$E:$E,$B209))</f>
        <v/>
      </c>
      <c r="J209" s="11">
        <f>IF($B209="","",INDEX('Yuri - Book'!$F:$F,$B209))</f>
        <v/>
      </c>
      <c r="K209" s="11">
        <f>IF($B209="","",INDEX('Yuri - Book'!$K:$K,$B209))</f>
        <v/>
      </c>
      <c r="L209" s="13">
        <f>IF($B209="","",ROUND(INDEX('Yuri - Book'!$Q:$Q,$B209),0))</f>
        <v/>
      </c>
      <c r="M209" s="11">
        <f>IF($B209="","",INDEX('Yuri - Book'!$P:$P,$B209))</f>
        <v/>
      </c>
    </row>
    <row r="210">
      <c r="A210" s="11" t="b">
        <v>0</v>
      </c>
      <c r="B210" s="11">
        <f>IFERROR(MATCH(143,'Yuri - Book'!$V$4:$V$203,0)+4-1,"")</f>
        <v/>
      </c>
      <c r="C210" s="11">
        <f>IF($B210="","",INDEX('Yuri - Book'!$A:$A,$B210))</f>
        <v/>
      </c>
      <c r="D210" s="11">
        <f>IF($B210="","",INDEX('Yuri - Book'!$B:$B,$B210))</f>
        <v/>
      </c>
      <c r="E210" s="12">
        <f>IF($B210="","",INDEX('Yuri - Book'!$J:$J,$B210))</f>
        <v/>
      </c>
      <c r="F210" s="11">
        <f>IF($B210="","","Yuri")</f>
        <v/>
      </c>
      <c r="G210" s="11">
        <f>IF($B210="","",INDEX('Yuri - Book'!$C:$C,$B210))</f>
        <v/>
      </c>
      <c r="H210" s="11">
        <f>IF($B210="","",INDEX('Yuri - Book'!$D:$D,$B210))</f>
        <v/>
      </c>
      <c r="I210" s="11">
        <f>IF($B210="","",INDEX('Yuri - Book'!$E:$E,$B210))</f>
        <v/>
      </c>
      <c r="J210" s="11">
        <f>IF($B210="","",INDEX('Yuri - Book'!$F:$F,$B210))</f>
        <v/>
      </c>
      <c r="K210" s="11">
        <f>IF($B210="","",INDEX('Yuri - Book'!$K:$K,$B210))</f>
        <v/>
      </c>
      <c r="L210" s="13">
        <f>IF($B210="","",ROUND(INDEX('Yuri - Book'!$Q:$Q,$B210),0))</f>
        <v/>
      </c>
      <c r="M210" s="11">
        <f>IF($B210="","",INDEX('Yuri - Book'!$P:$P,$B210))</f>
        <v/>
      </c>
    </row>
    <row r="211">
      <c r="A211" s="11" t="b">
        <v>0</v>
      </c>
      <c r="B211" s="11">
        <f>IFERROR(MATCH(144,'Yuri - Book'!$V$4:$V$203,0)+4-1,"")</f>
        <v/>
      </c>
      <c r="C211" s="11">
        <f>IF($B211="","",INDEX('Yuri - Book'!$A:$A,$B211))</f>
        <v/>
      </c>
      <c r="D211" s="11">
        <f>IF($B211="","",INDEX('Yuri - Book'!$B:$B,$B211))</f>
        <v/>
      </c>
      <c r="E211" s="12">
        <f>IF($B211="","",INDEX('Yuri - Book'!$J:$J,$B211))</f>
        <v/>
      </c>
      <c r="F211" s="11">
        <f>IF($B211="","","Yuri")</f>
        <v/>
      </c>
      <c r="G211" s="11">
        <f>IF($B211="","",INDEX('Yuri - Book'!$C:$C,$B211))</f>
        <v/>
      </c>
      <c r="H211" s="11">
        <f>IF($B211="","",INDEX('Yuri - Book'!$D:$D,$B211))</f>
        <v/>
      </c>
      <c r="I211" s="11">
        <f>IF($B211="","",INDEX('Yuri - Book'!$E:$E,$B211))</f>
        <v/>
      </c>
      <c r="J211" s="11">
        <f>IF($B211="","",INDEX('Yuri - Book'!$F:$F,$B211))</f>
        <v/>
      </c>
      <c r="K211" s="11">
        <f>IF($B211="","",INDEX('Yuri - Book'!$K:$K,$B211))</f>
        <v/>
      </c>
      <c r="L211" s="13">
        <f>IF($B211="","",ROUND(INDEX('Yuri - Book'!$Q:$Q,$B211),0))</f>
        <v/>
      </c>
      <c r="M211" s="11">
        <f>IF($B211="","",INDEX('Yuri - Book'!$P:$P,$B211))</f>
        <v/>
      </c>
    </row>
    <row r="212">
      <c r="A212" s="11" t="b">
        <v>0</v>
      </c>
      <c r="B212" s="11">
        <f>IFERROR(MATCH(145,'Yuri - Book'!$V$4:$V$203,0)+4-1,"")</f>
        <v/>
      </c>
      <c r="C212" s="11">
        <f>IF($B212="","",INDEX('Yuri - Book'!$A:$A,$B212))</f>
        <v/>
      </c>
      <c r="D212" s="11">
        <f>IF($B212="","",INDEX('Yuri - Book'!$B:$B,$B212))</f>
        <v/>
      </c>
      <c r="E212" s="12">
        <f>IF($B212="","",INDEX('Yuri - Book'!$J:$J,$B212))</f>
        <v/>
      </c>
      <c r="F212" s="11">
        <f>IF($B212="","","Yuri")</f>
        <v/>
      </c>
      <c r="G212" s="11">
        <f>IF($B212="","",INDEX('Yuri - Book'!$C:$C,$B212))</f>
        <v/>
      </c>
      <c r="H212" s="11">
        <f>IF($B212="","",INDEX('Yuri - Book'!$D:$D,$B212))</f>
        <v/>
      </c>
      <c r="I212" s="11">
        <f>IF($B212="","",INDEX('Yuri - Book'!$E:$E,$B212))</f>
        <v/>
      </c>
      <c r="J212" s="11">
        <f>IF($B212="","",INDEX('Yuri - Book'!$F:$F,$B212))</f>
        <v/>
      </c>
      <c r="K212" s="11">
        <f>IF($B212="","",INDEX('Yuri - Book'!$K:$K,$B212))</f>
        <v/>
      </c>
      <c r="L212" s="13">
        <f>IF($B212="","",ROUND(INDEX('Yuri - Book'!$Q:$Q,$B212),0))</f>
        <v/>
      </c>
      <c r="M212" s="11">
        <f>IF($B212="","",INDEX('Yuri - Book'!$P:$P,$B212))</f>
        <v/>
      </c>
    </row>
    <row r="213">
      <c r="A213" s="11" t="b">
        <v>0</v>
      </c>
      <c r="B213" s="11">
        <f>IFERROR(MATCH(146,'Yuri - Book'!$V$4:$V$203,0)+4-1,"")</f>
        <v/>
      </c>
      <c r="C213" s="11">
        <f>IF($B213="","",INDEX('Yuri - Book'!$A:$A,$B213))</f>
        <v/>
      </c>
      <c r="D213" s="11">
        <f>IF($B213="","",INDEX('Yuri - Book'!$B:$B,$B213))</f>
        <v/>
      </c>
      <c r="E213" s="12">
        <f>IF($B213="","",INDEX('Yuri - Book'!$J:$J,$B213))</f>
        <v/>
      </c>
      <c r="F213" s="11">
        <f>IF($B213="","","Yuri")</f>
        <v/>
      </c>
      <c r="G213" s="11">
        <f>IF($B213="","",INDEX('Yuri - Book'!$C:$C,$B213))</f>
        <v/>
      </c>
      <c r="H213" s="11">
        <f>IF($B213="","",INDEX('Yuri - Book'!$D:$D,$B213))</f>
        <v/>
      </c>
      <c r="I213" s="11">
        <f>IF($B213="","",INDEX('Yuri - Book'!$E:$E,$B213))</f>
        <v/>
      </c>
      <c r="J213" s="11">
        <f>IF($B213="","",INDEX('Yuri - Book'!$F:$F,$B213))</f>
        <v/>
      </c>
      <c r="K213" s="11">
        <f>IF($B213="","",INDEX('Yuri - Book'!$K:$K,$B213))</f>
        <v/>
      </c>
      <c r="L213" s="13">
        <f>IF($B213="","",ROUND(INDEX('Yuri - Book'!$Q:$Q,$B213),0))</f>
        <v/>
      </c>
      <c r="M213" s="11">
        <f>IF($B213="","",INDEX('Yuri - Book'!$P:$P,$B213))</f>
        <v/>
      </c>
    </row>
    <row r="214">
      <c r="A214" s="11" t="b">
        <v>0</v>
      </c>
      <c r="B214" s="11">
        <f>IFERROR(MATCH(147,'Yuri - Book'!$V$4:$V$203,0)+4-1,"")</f>
        <v/>
      </c>
      <c r="C214" s="11">
        <f>IF($B214="","",INDEX('Yuri - Book'!$A:$A,$B214))</f>
        <v/>
      </c>
      <c r="D214" s="11">
        <f>IF($B214="","",INDEX('Yuri - Book'!$B:$B,$B214))</f>
        <v/>
      </c>
      <c r="E214" s="12">
        <f>IF($B214="","",INDEX('Yuri - Book'!$J:$J,$B214))</f>
        <v/>
      </c>
      <c r="F214" s="11">
        <f>IF($B214="","","Yuri")</f>
        <v/>
      </c>
      <c r="G214" s="11">
        <f>IF($B214="","",INDEX('Yuri - Book'!$C:$C,$B214))</f>
        <v/>
      </c>
      <c r="H214" s="11">
        <f>IF($B214="","",INDEX('Yuri - Book'!$D:$D,$B214))</f>
        <v/>
      </c>
      <c r="I214" s="11">
        <f>IF($B214="","",INDEX('Yuri - Book'!$E:$E,$B214))</f>
        <v/>
      </c>
      <c r="J214" s="11">
        <f>IF($B214="","",INDEX('Yuri - Book'!$F:$F,$B214))</f>
        <v/>
      </c>
      <c r="K214" s="11">
        <f>IF($B214="","",INDEX('Yuri - Book'!$K:$K,$B214))</f>
        <v/>
      </c>
      <c r="L214" s="13">
        <f>IF($B214="","",ROUND(INDEX('Yuri - Book'!$Q:$Q,$B214),0))</f>
        <v/>
      </c>
      <c r="M214" s="11">
        <f>IF($B214="","",INDEX('Yuri - Book'!$P:$P,$B214))</f>
        <v/>
      </c>
    </row>
    <row r="215">
      <c r="A215" s="11" t="b">
        <v>0</v>
      </c>
      <c r="B215" s="11">
        <f>IFERROR(MATCH(148,'Yuri - Book'!$V$4:$V$203,0)+4-1,"")</f>
        <v/>
      </c>
      <c r="C215" s="11">
        <f>IF($B215="","",INDEX('Yuri - Book'!$A:$A,$B215))</f>
        <v/>
      </c>
      <c r="D215" s="11">
        <f>IF($B215="","",INDEX('Yuri - Book'!$B:$B,$B215))</f>
        <v/>
      </c>
      <c r="E215" s="12">
        <f>IF($B215="","",INDEX('Yuri - Book'!$J:$J,$B215))</f>
        <v/>
      </c>
      <c r="F215" s="11">
        <f>IF($B215="","","Yuri")</f>
        <v/>
      </c>
      <c r="G215" s="11">
        <f>IF($B215="","",INDEX('Yuri - Book'!$C:$C,$B215))</f>
        <v/>
      </c>
      <c r="H215" s="11">
        <f>IF($B215="","",INDEX('Yuri - Book'!$D:$D,$B215))</f>
        <v/>
      </c>
      <c r="I215" s="11">
        <f>IF($B215="","",INDEX('Yuri - Book'!$E:$E,$B215))</f>
        <v/>
      </c>
      <c r="J215" s="11">
        <f>IF($B215="","",INDEX('Yuri - Book'!$F:$F,$B215))</f>
        <v/>
      </c>
      <c r="K215" s="11">
        <f>IF($B215="","",INDEX('Yuri - Book'!$K:$K,$B215))</f>
        <v/>
      </c>
      <c r="L215" s="13">
        <f>IF($B215="","",ROUND(INDEX('Yuri - Book'!$Q:$Q,$B215),0))</f>
        <v/>
      </c>
      <c r="M215" s="11">
        <f>IF($B215="","",INDEX('Yuri - Book'!$P:$P,$B215))</f>
        <v/>
      </c>
    </row>
    <row r="216">
      <c r="A216" s="11" t="b">
        <v>0</v>
      </c>
      <c r="B216" s="11">
        <f>IFERROR(MATCH(149,'Yuri - Book'!$V$4:$V$203,0)+4-1,"")</f>
        <v/>
      </c>
      <c r="C216" s="11">
        <f>IF($B216="","",INDEX('Yuri - Book'!$A:$A,$B216))</f>
        <v/>
      </c>
      <c r="D216" s="11">
        <f>IF($B216="","",INDEX('Yuri - Book'!$B:$B,$B216))</f>
        <v/>
      </c>
      <c r="E216" s="12">
        <f>IF($B216="","",INDEX('Yuri - Book'!$J:$J,$B216))</f>
        <v/>
      </c>
      <c r="F216" s="11">
        <f>IF($B216="","","Yuri")</f>
        <v/>
      </c>
      <c r="G216" s="11">
        <f>IF($B216="","",INDEX('Yuri - Book'!$C:$C,$B216))</f>
        <v/>
      </c>
      <c r="H216" s="11">
        <f>IF($B216="","",INDEX('Yuri - Book'!$D:$D,$B216))</f>
        <v/>
      </c>
      <c r="I216" s="11">
        <f>IF($B216="","",INDEX('Yuri - Book'!$E:$E,$B216))</f>
        <v/>
      </c>
      <c r="J216" s="11">
        <f>IF($B216="","",INDEX('Yuri - Book'!$F:$F,$B216))</f>
        <v/>
      </c>
      <c r="K216" s="11">
        <f>IF($B216="","",INDEX('Yuri - Book'!$K:$K,$B216))</f>
        <v/>
      </c>
      <c r="L216" s="13">
        <f>IF($B216="","",ROUND(INDEX('Yuri - Book'!$Q:$Q,$B216),0))</f>
        <v/>
      </c>
      <c r="M216" s="11">
        <f>IF($B216="","",INDEX('Yuri - Book'!$P:$P,$B216))</f>
        <v/>
      </c>
    </row>
    <row r="217">
      <c r="A217" s="11" t="b">
        <v>0</v>
      </c>
      <c r="B217" s="11">
        <f>IFERROR(MATCH(150,'Yuri - Book'!$V$4:$V$203,0)+4-1,"")</f>
        <v/>
      </c>
      <c r="C217" s="11">
        <f>IF($B217="","",INDEX('Yuri - Book'!$A:$A,$B217))</f>
        <v/>
      </c>
      <c r="D217" s="11">
        <f>IF($B217="","",INDEX('Yuri - Book'!$B:$B,$B217))</f>
        <v/>
      </c>
      <c r="E217" s="12">
        <f>IF($B217="","",INDEX('Yuri - Book'!$J:$J,$B217))</f>
        <v/>
      </c>
      <c r="F217" s="11">
        <f>IF($B217="","","Yuri")</f>
        <v/>
      </c>
      <c r="G217" s="11">
        <f>IF($B217="","",INDEX('Yuri - Book'!$C:$C,$B217))</f>
        <v/>
      </c>
      <c r="H217" s="11">
        <f>IF($B217="","",INDEX('Yuri - Book'!$D:$D,$B217))</f>
        <v/>
      </c>
      <c r="I217" s="11">
        <f>IF($B217="","",INDEX('Yuri - Book'!$E:$E,$B217))</f>
        <v/>
      </c>
      <c r="J217" s="11">
        <f>IF($B217="","",INDEX('Yuri - Book'!$F:$F,$B217))</f>
        <v/>
      </c>
      <c r="K217" s="11">
        <f>IF($B217="","",INDEX('Yuri - Book'!$K:$K,$B217))</f>
        <v/>
      </c>
      <c r="L217" s="13">
        <f>IF($B217="","",ROUND(INDEX('Yuri - Book'!$Q:$Q,$B217),0))</f>
        <v/>
      </c>
      <c r="M217" s="11">
        <f>IF($B217="","",INDEX('Yuri - Book'!$P:$P,$B217))</f>
        <v/>
      </c>
    </row>
    <row r="218">
      <c r="A218" s="11" t="b">
        <v>0</v>
      </c>
      <c r="B218" s="11">
        <f>IFERROR(MATCH(151,'Yuri - Book'!$V$4:$V$203,0)+4-1,"")</f>
        <v/>
      </c>
      <c r="C218" s="11">
        <f>IF($B218="","",INDEX('Yuri - Book'!$A:$A,$B218))</f>
        <v/>
      </c>
      <c r="D218" s="11">
        <f>IF($B218="","",INDEX('Yuri - Book'!$B:$B,$B218))</f>
        <v/>
      </c>
      <c r="E218" s="12">
        <f>IF($B218="","",INDEX('Yuri - Book'!$J:$J,$B218))</f>
        <v/>
      </c>
      <c r="F218" s="11">
        <f>IF($B218="","","Yuri")</f>
        <v/>
      </c>
      <c r="G218" s="11">
        <f>IF($B218="","",INDEX('Yuri - Book'!$C:$C,$B218))</f>
        <v/>
      </c>
      <c r="H218" s="11">
        <f>IF($B218="","",INDEX('Yuri - Book'!$D:$D,$B218))</f>
        <v/>
      </c>
      <c r="I218" s="11">
        <f>IF($B218="","",INDEX('Yuri - Book'!$E:$E,$B218))</f>
        <v/>
      </c>
      <c r="J218" s="11">
        <f>IF($B218="","",INDEX('Yuri - Book'!$F:$F,$B218))</f>
        <v/>
      </c>
      <c r="K218" s="11">
        <f>IF($B218="","",INDEX('Yuri - Book'!$K:$K,$B218))</f>
        <v/>
      </c>
      <c r="L218" s="13">
        <f>IF($B218="","",ROUND(INDEX('Yuri - Book'!$Q:$Q,$B218),0))</f>
        <v/>
      </c>
      <c r="M218" s="11">
        <f>IF($B218="","",INDEX('Yuri - Book'!$P:$P,$B218))</f>
        <v/>
      </c>
    </row>
    <row r="219">
      <c r="A219" s="11" t="b">
        <v>0</v>
      </c>
      <c r="B219" s="11">
        <f>IFERROR(MATCH(152,'Yuri - Book'!$V$4:$V$203,0)+4-1,"")</f>
        <v/>
      </c>
      <c r="C219" s="11">
        <f>IF($B219="","",INDEX('Yuri - Book'!$A:$A,$B219))</f>
        <v/>
      </c>
      <c r="D219" s="11">
        <f>IF($B219="","",INDEX('Yuri - Book'!$B:$B,$B219))</f>
        <v/>
      </c>
      <c r="E219" s="12">
        <f>IF($B219="","",INDEX('Yuri - Book'!$J:$J,$B219))</f>
        <v/>
      </c>
      <c r="F219" s="11">
        <f>IF($B219="","","Yuri")</f>
        <v/>
      </c>
      <c r="G219" s="11">
        <f>IF($B219="","",INDEX('Yuri - Book'!$C:$C,$B219))</f>
        <v/>
      </c>
      <c r="H219" s="11">
        <f>IF($B219="","",INDEX('Yuri - Book'!$D:$D,$B219))</f>
        <v/>
      </c>
      <c r="I219" s="11">
        <f>IF($B219="","",INDEX('Yuri - Book'!$E:$E,$B219))</f>
        <v/>
      </c>
      <c r="J219" s="11">
        <f>IF($B219="","",INDEX('Yuri - Book'!$F:$F,$B219))</f>
        <v/>
      </c>
      <c r="K219" s="11">
        <f>IF($B219="","",INDEX('Yuri - Book'!$K:$K,$B219))</f>
        <v/>
      </c>
      <c r="L219" s="13">
        <f>IF($B219="","",ROUND(INDEX('Yuri - Book'!$Q:$Q,$B219),0))</f>
        <v/>
      </c>
      <c r="M219" s="11">
        <f>IF($B219="","",INDEX('Yuri - Book'!$P:$P,$B219))</f>
        <v/>
      </c>
    </row>
    <row r="220">
      <c r="A220" s="11" t="b">
        <v>0</v>
      </c>
      <c r="B220" s="11">
        <f>IFERROR(MATCH(153,'Yuri - Book'!$V$4:$V$203,0)+4-1,"")</f>
        <v/>
      </c>
      <c r="C220" s="11">
        <f>IF($B220="","",INDEX('Yuri - Book'!$A:$A,$B220))</f>
        <v/>
      </c>
      <c r="D220" s="11">
        <f>IF($B220="","",INDEX('Yuri - Book'!$B:$B,$B220))</f>
        <v/>
      </c>
      <c r="E220" s="12">
        <f>IF($B220="","",INDEX('Yuri - Book'!$J:$J,$B220))</f>
        <v/>
      </c>
      <c r="F220" s="11">
        <f>IF($B220="","","Yuri")</f>
        <v/>
      </c>
      <c r="G220" s="11">
        <f>IF($B220="","",INDEX('Yuri - Book'!$C:$C,$B220))</f>
        <v/>
      </c>
      <c r="H220" s="11">
        <f>IF($B220="","",INDEX('Yuri - Book'!$D:$D,$B220))</f>
        <v/>
      </c>
      <c r="I220" s="11">
        <f>IF($B220="","",INDEX('Yuri - Book'!$E:$E,$B220))</f>
        <v/>
      </c>
      <c r="J220" s="11">
        <f>IF($B220="","",INDEX('Yuri - Book'!$F:$F,$B220))</f>
        <v/>
      </c>
      <c r="K220" s="11">
        <f>IF($B220="","",INDEX('Yuri - Book'!$K:$K,$B220))</f>
        <v/>
      </c>
      <c r="L220" s="13">
        <f>IF($B220="","",ROUND(INDEX('Yuri - Book'!$Q:$Q,$B220),0))</f>
        <v/>
      </c>
      <c r="M220" s="11">
        <f>IF($B220="","",INDEX('Yuri - Book'!$P:$P,$B220))</f>
        <v/>
      </c>
    </row>
    <row r="221">
      <c r="A221" s="11" t="b">
        <v>0</v>
      </c>
      <c r="B221" s="11">
        <f>IFERROR(MATCH(154,'Yuri - Book'!$V$4:$V$203,0)+4-1,"")</f>
        <v/>
      </c>
      <c r="C221" s="11">
        <f>IF($B221="","",INDEX('Yuri - Book'!$A:$A,$B221))</f>
        <v/>
      </c>
      <c r="D221" s="11">
        <f>IF($B221="","",INDEX('Yuri - Book'!$B:$B,$B221))</f>
        <v/>
      </c>
      <c r="E221" s="12">
        <f>IF($B221="","",INDEX('Yuri - Book'!$J:$J,$B221))</f>
        <v/>
      </c>
      <c r="F221" s="11">
        <f>IF($B221="","","Yuri")</f>
        <v/>
      </c>
      <c r="G221" s="11">
        <f>IF($B221="","",INDEX('Yuri - Book'!$C:$C,$B221))</f>
        <v/>
      </c>
      <c r="H221" s="11">
        <f>IF($B221="","",INDEX('Yuri - Book'!$D:$D,$B221))</f>
        <v/>
      </c>
      <c r="I221" s="11">
        <f>IF($B221="","",INDEX('Yuri - Book'!$E:$E,$B221))</f>
        <v/>
      </c>
      <c r="J221" s="11">
        <f>IF($B221="","",INDEX('Yuri - Book'!$F:$F,$B221))</f>
        <v/>
      </c>
      <c r="K221" s="11">
        <f>IF($B221="","",INDEX('Yuri - Book'!$K:$K,$B221))</f>
        <v/>
      </c>
      <c r="L221" s="13">
        <f>IF($B221="","",ROUND(INDEX('Yuri - Book'!$Q:$Q,$B221),0))</f>
        <v/>
      </c>
      <c r="M221" s="11">
        <f>IF($B221="","",INDEX('Yuri - Book'!$P:$P,$B221))</f>
        <v/>
      </c>
    </row>
    <row r="222">
      <c r="A222" s="11" t="b">
        <v>0</v>
      </c>
      <c r="B222" s="11">
        <f>IFERROR(MATCH(155,'Yuri - Book'!$V$4:$V$203,0)+4-1,"")</f>
        <v/>
      </c>
      <c r="C222" s="11">
        <f>IF($B222="","",INDEX('Yuri - Book'!$A:$A,$B222))</f>
        <v/>
      </c>
      <c r="D222" s="11">
        <f>IF($B222="","",INDEX('Yuri - Book'!$B:$B,$B222))</f>
        <v/>
      </c>
      <c r="E222" s="12">
        <f>IF($B222="","",INDEX('Yuri - Book'!$J:$J,$B222))</f>
        <v/>
      </c>
      <c r="F222" s="11">
        <f>IF($B222="","","Yuri")</f>
        <v/>
      </c>
      <c r="G222" s="11">
        <f>IF($B222="","",INDEX('Yuri - Book'!$C:$C,$B222))</f>
        <v/>
      </c>
      <c r="H222" s="11">
        <f>IF($B222="","",INDEX('Yuri - Book'!$D:$D,$B222))</f>
        <v/>
      </c>
      <c r="I222" s="11">
        <f>IF($B222="","",INDEX('Yuri - Book'!$E:$E,$B222))</f>
        <v/>
      </c>
      <c r="J222" s="11">
        <f>IF($B222="","",INDEX('Yuri - Book'!$F:$F,$B222))</f>
        <v/>
      </c>
      <c r="K222" s="11">
        <f>IF($B222="","",INDEX('Yuri - Book'!$K:$K,$B222))</f>
        <v/>
      </c>
      <c r="L222" s="13">
        <f>IF($B222="","",ROUND(INDEX('Yuri - Book'!$Q:$Q,$B222),0))</f>
        <v/>
      </c>
      <c r="M222" s="11">
        <f>IF($B222="","",INDEX('Yuri - Book'!$P:$P,$B222))</f>
        <v/>
      </c>
    </row>
    <row r="223">
      <c r="A223" s="11" t="b">
        <v>0</v>
      </c>
      <c r="B223" s="11">
        <f>IFERROR(MATCH(156,'Yuri - Book'!$V$4:$V$203,0)+4-1,"")</f>
        <v/>
      </c>
      <c r="C223" s="11">
        <f>IF($B223="","",INDEX('Yuri - Book'!$A:$A,$B223))</f>
        <v/>
      </c>
      <c r="D223" s="11">
        <f>IF($B223="","",INDEX('Yuri - Book'!$B:$B,$B223))</f>
        <v/>
      </c>
      <c r="E223" s="12">
        <f>IF($B223="","",INDEX('Yuri - Book'!$J:$J,$B223))</f>
        <v/>
      </c>
      <c r="F223" s="11">
        <f>IF($B223="","","Yuri")</f>
        <v/>
      </c>
      <c r="G223" s="11">
        <f>IF($B223="","",INDEX('Yuri - Book'!$C:$C,$B223))</f>
        <v/>
      </c>
      <c r="H223" s="11">
        <f>IF($B223="","",INDEX('Yuri - Book'!$D:$D,$B223))</f>
        <v/>
      </c>
      <c r="I223" s="11">
        <f>IF($B223="","",INDEX('Yuri - Book'!$E:$E,$B223))</f>
        <v/>
      </c>
      <c r="J223" s="11">
        <f>IF($B223="","",INDEX('Yuri - Book'!$F:$F,$B223))</f>
        <v/>
      </c>
      <c r="K223" s="11">
        <f>IF($B223="","",INDEX('Yuri - Book'!$K:$K,$B223))</f>
        <v/>
      </c>
      <c r="L223" s="13">
        <f>IF($B223="","",ROUND(INDEX('Yuri - Book'!$Q:$Q,$B223),0))</f>
        <v/>
      </c>
      <c r="M223" s="11">
        <f>IF($B223="","",INDEX('Yuri - Book'!$P:$P,$B223))</f>
        <v/>
      </c>
    </row>
    <row r="224">
      <c r="A224" s="11" t="b">
        <v>0</v>
      </c>
      <c r="B224" s="11">
        <f>IFERROR(MATCH(157,'Yuri - Book'!$V$4:$V$203,0)+4-1,"")</f>
        <v/>
      </c>
      <c r="C224" s="11">
        <f>IF($B224="","",INDEX('Yuri - Book'!$A:$A,$B224))</f>
        <v/>
      </c>
      <c r="D224" s="11">
        <f>IF($B224="","",INDEX('Yuri - Book'!$B:$B,$B224))</f>
        <v/>
      </c>
      <c r="E224" s="12">
        <f>IF($B224="","",INDEX('Yuri - Book'!$J:$J,$B224))</f>
        <v/>
      </c>
      <c r="F224" s="11">
        <f>IF($B224="","","Yuri")</f>
        <v/>
      </c>
      <c r="G224" s="11">
        <f>IF($B224="","",INDEX('Yuri - Book'!$C:$C,$B224))</f>
        <v/>
      </c>
      <c r="H224" s="11">
        <f>IF($B224="","",INDEX('Yuri - Book'!$D:$D,$B224))</f>
        <v/>
      </c>
      <c r="I224" s="11">
        <f>IF($B224="","",INDEX('Yuri - Book'!$E:$E,$B224))</f>
        <v/>
      </c>
      <c r="J224" s="11">
        <f>IF($B224="","",INDEX('Yuri - Book'!$F:$F,$B224))</f>
        <v/>
      </c>
      <c r="K224" s="11">
        <f>IF($B224="","",INDEX('Yuri - Book'!$K:$K,$B224))</f>
        <v/>
      </c>
      <c r="L224" s="13">
        <f>IF($B224="","",ROUND(INDEX('Yuri - Book'!$Q:$Q,$B224),0))</f>
        <v/>
      </c>
      <c r="M224" s="11">
        <f>IF($B224="","",INDEX('Yuri - Book'!$P:$P,$B224))</f>
        <v/>
      </c>
    </row>
    <row r="225">
      <c r="A225" s="11" t="b">
        <v>0</v>
      </c>
      <c r="B225" s="11">
        <f>IFERROR(MATCH(158,'Yuri - Book'!$V$4:$V$203,0)+4-1,"")</f>
        <v/>
      </c>
      <c r="C225" s="11">
        <f>IF($B225="","",INDEX('Yuri - Book'!$A:$A,$B225))</f>
        <v/>
      </c>
      <c r="D225" s="11">
        <f>IF($B225="","",INDEX('Yuri - Book'!$B:$B,$B225))</f>
        <v/>
      </c>
      <c r="E225" s="12">
        <f>IF($B225="","",INDEX('Yuri - Book'!$J:$J,$B225))</f>
        <v/>
      </c>
      <c r="F225" s="11">
        <f>IF($B225="","","Yuri")</f>
        <v/>
      </c>
      <c r="G225" s="11">
        <f>IF($B225="","",INDEX('Yuri - Book'!$C:$C,$B225))</f>
        <v/>
      </c>
      <c r="H225" s="11">
        <f>IF($B225="","",INDEX('Yuri - Book'!$D:$D,$B225))</f>
        <v/>
      </c>
      <c r="I225" s="11">
        <f>IF($B225="","",INDEX('Yuri - Book'!$E:$E,$B225))</f>
        <v/>
      </c>
      <c r="J225" s="11">
        <f>IF($B225="","",INDEX('Yuri - Book'!$F:$F,$B225))</f>
        <v/>
      </c>
      <c r="K225" s="11">
        <f>IF($B225="","",INDEX('Yuri - Book'!$K:$K,$B225))</f>
        <v/>
      </c>
      <c r="L225" s="13">
        <f>IF($B225="","",ROUND(INDEX('Yuri - Book'!$Q:$Q,$B225),0))</f>
        <v/>
      </c>
      <c r="M225" s="11">
        <f>IF($B225="","",INDEX('Yuri - Book'!$P:$P,$B225))</f>
        <v/>
      </c>
    </row>
    <row r="226">
      <c r="A226" s="11" t="b">
        <v>0</v>
      </c>
      <c r="B226" s="11">
        <f>IFERROR(MATCH(159,'Yuri - Book'!$V$4:$V$203,0)+4-1,"")</f>
        <v/>
      </c>
      <c r="C226" s="11">
        <f>IF($B226="","",INDEX('Yuri - Book'!$A:$A,$B226))</f>
        <v/>
      </c>
      <c r="D226" s="11">
        <f>IF($B226="","",INDEX('Yuri - Book'!$B:$B,$B226))</f>
        <v/>
      </c>
      <c r="E226" s="12">
        <f>IF($B226="","",INDEX('Yuri - Book'!$J:$J,$B226))</f>
        <v/>
      </c>
      <c r="F226" s="11">
        <f>IF($B226="","","Yuri")</f>
        <v/>
      </c>
      <c r="G226" s="11">
        <f>IF($B226="","",INDEX('Yuri - Book'!$C:$C,$B226))</f>
        <v/>
      </c>
      <c r="H226" s="11">
        <f>IF($B226="","",INDEX('Yuri - Book'!$D:$D,$B226))</f>
        <v/>
      </c>
      <c r="I226" s="11">
        <f>IF($B226="","",INDEX('Yuri - Book'!$E:$E,$B226))</f>
        <v/>
      </c>
      <c r="J226" s="11">
        <f>IF($B226="","",INDEX('Yuri - Book'!$F:$F,$B226))</f>
        <v/>
      </c>
      <c r="K226" s="11">
        <f>IF($B226="","",INDEX('Yuri - Book'!$K:$K,$B226))</f>
        <v/>
      </c>
      <c r="L226" s="13">
        <f>IF($B226="","",ROUND(INDEX('Yuri - Book'!$Q:$Q,$B226),0))</f>
        <v/>
      </c>
      <c r="M226" s="11">
        <f>IF($B226="","",INDEX('Yuri - Book'!$P:$P,$B226))</f>
        <v/>
      </c>
    </row>
    <row r="227">
      <c r="A227" s="11" t="b">
        <v>0</v>
      </c>
      <c r="B227" s="11">
        <f>IFERROR(MATCH(160,'Yuri - Book'!$V$4:$V$203,0)+4-1,"")</f>
        <v/>
      </c>
      <c r="C227" s="11">
        <f>IF($B227="","",INDEX('Yuri - Book'!$A:$A,$B227))</f>
        <v/>
      </c>
      <c r="D227" s="11">
        <f>IF($B227="","",INDEX('Yuri - Book'!$B:$B,$B227))</f>
        <v/>
      </c>
      <c r="E227" s="12">
        <f>IF($B227="","",INDEX('Yuri - Book'!$J:$J,$B227))</f>
        <v/>
      </c>
      <c r="F227" s="11">
        <f>IF($B227="","","Yuri")</f>
        <v/>
      </c>
      <c r="G227" s="11">
        <f>IF($B227="","",INDEX('Yuri - Book'!$C:$C,$B227))</f>
        <v/>
      </c>
      <c r="H227" s="11">
        <f>IF($B227="","",INDEX('Yuri - Book'!$D:$D,$B227))</f>
        <v/>
      </c>
      <c r="I227" s="11">
        <f>IF($B227="","",INDEX('Yuri - Book'!$E:$E,$B227))</f>
        <v/>
      </c>
      <c r="J227" s="11">
        <f>IF($B227="","",INDEX('Yuri - Book'!$F:$F,$B227))</f>
        <v/>
      </c>
      <c r="K227" s="11">
        <f>IF($B227="","",INDEX('Yuri - Book'!$K:$K,$B227))</f>
        <v/>
      </c>
      <c r="L227" s="13">
        <f>IF($B227="","",ROUND(INDEX('Yuri - Book'!$Q:$Q,$B227),0))</f>
        <v/>
      </c>
      <c r="M227" s="11">
        <f>IF($B227="","",INDEX('Yuri - Book'!$P:$P,$B227))</f>
        <v/>
      </c>
    </row>
    <row r="228">
      <c r="A228" s="11" t="b">
        <v>0</v>
      </c>
      <c r="B228" s="11">
        <f>IFERROR(MATCH(161,'Yuri - Book'!$V$4:$V$203,0)+4-1,"")</f>
        <v/>
      </c>
      <c r="C228" s="11">
        <f>IF($B228="","",INDEX('Yuri - Book'!$A:$A,$B228))</f>
        <v/>
      </c>
      <c r="D228" s="11">
        <f>IF($B228="","",INDEX('Yuri - Book'!$B:$B,$B228))</f>
        <v/>
      </c>
      <c r="E228" s="12">
        <f>IF($B228="","",INDEX('Yuri - Book'!$J:$J,$B228))</f>
        <v/>
      </c>
      <c r="F228" s="11">
        <f>IF($B228="","","Yuri")</f>
        <v/>
      </c>
      <c r="G228" s="11">
        <f>IF($B228="","",INDEX('Yuri - Book'!$C:$C,$B228))</f>
        <v/>
      </c>
      <c r="H228" s="11">
        <f>IF($B228="","",INDEX('Yuri - Book'!$D:$D,$B228))</f>
        <v/>
      </c>
      <c r="I228" s="11">
        <f>IF($B228="","",INDEX('Yuri - Book'!$E:$E,$B228))</f>
        <v/>
      </c>
      <c r="J228" s="11">
        <f>IF($B228="","",INDEX('Yuri - Book'!$F:$F,$B228))</f>
        <v/>
      </c>
      <c r="K228" s="11">
        <f>IF($B228="","",INDEX('Yuri - Book'!$K:$K,$B228))</f>
        <v/>
      </c>
      <c r="L228" s="13">
        <f>IF($B228="","",ROUND(INDEX('Yuri - Book'!$Q:$Q,$B228),0))</f>
        <v/>
      </c>
      <c r="M228" s="11">
        <f>IF($B228="","",INDEX('Yuri - Book'!$P:$P,$B228))</f>
        <v/>
      </c>
    </row>
    <row r="229">
      <c r="A229" s="11" t="b">
        <v>0</v>
      </c>
      <c r="B229" s="11">
        <f>IFERROR(MATCH(162,'Yuri - Book'!$V$4:$V$203,0)+4-1,"")</f>
        <v/>
      </c>
      <c r="C229" s="11">
        <f>IF($B229="","",INDEX('Yuri - Book'!$A:$A,$B229))</f>
        <v/>
      </c>
      <c r="D229" s="11">
        <f>IF($B229="","",INDEX('Yuri - Book'!$B:$B,$B229))</f>
        <v/>
      </c>
      <c r="E229" s="12">
        <f>IF($B229="","",INDEX('Yuri - Book'!$J:$J,$B229))</f>
        <v/>
      </c>
      <c r="F229" s="11">
        <f>IF($B229="","","Yuri")</f>
        <v/>
      </c>
      <c r="G229" s="11">
        <f>IF($B229="","",INDEX('Yuri - Book'!$C:$C,$B229))</f>
        <v/>
      </c>
      <c r="H229" s="11">
        <f>IF($B229="","",INDEX('Yuri - Book'!$D:$D,$B229))</f>
        <v/>
      </c>
      <c r="I229" s="11">
        <f>IF($B229="","",INDEX('Yuri - Book'!$E:$E,$B229))</f>
        <v/>
      </c>
      <c r="J229" s="11">
        <f>IF($B229="","",INDEX('Yuri - Book'!$F:$F,$B229))</f>
        <v/>
      </c>
      <c r="K229" s="11">
        <f>IF($B229="","",INDEX('Yuri - Book'!$K:$K,$B229))</f>
        <v/>
      </c>
      <c r="L229" s="13">
        <f>IF($B229="","",ROUND(INDEX('Yuri - Book'!$Q:$Q,$B229),0))</f>
        <v/>
      </c>
      <c r="M229" s="11">
        <f>IF($B229="","",INDEX('Yuri - Book'!$P:$P,$B229))</f>
        <v/>
      </c>
    </row>
    <row r="230">
      <c r="A230" s="11" t="b">
        <v>0</v>
      </c>
      <c r="B230" s="11">
        <f>IFERROR(MATCH(163,'Yuri - Book'!$V$4:$V$203,0)+4-1,"")</f>
        <v/>
      </c>
      <c r="C230" s="11">
        <f>IF($B230="","",INDEX('Yuri - Book'!$A:$A,$B230))</f>
        <v/>
      </c>
      <c r="D230" s="11">
        <f>IF($B230="","",INDEX('Yuri - Book'!$B:$B,$B230))</f>
        <v/>
      </c>
      <c r="E230" s="12">
        <f>IF($B230="","",INDEX('Yuri - Book'!$J:$J,$B230))</f>
        <v/>
      </c>
      <c r="F230" s="11">
        <f>IF($B230="","","Yuri")</f>
        <v/>
      </c>
      <c r="G230" s="11">
        <f>IF($B230="","",INDEX('Yuri - Book'!$C:$C,$B230))</f>
        <v/>
      </c>
      <c r="H230" s="11">
        <f>IF($B230="","",INDEX('Yuri - Book'!$D:$D,$B230))</f>
        <v/>
      </c>
      <c r="I230" s="11">
        <f>IF($B230="","",INDEX('Yuri - Book'!$E:$E,$B230))</f>
        <v/>
      </c>
      <c r="J230" s="11">
        <f>IF($B230="","",INDEX('Yuri - Book'!$F:$F,$B230))</f>
        <v/>
      </c>
      <c r="K230" s="11">
        <f>IF($B230="","",INDEX('Yuri - Book'!$K:$K,$B230))</f>
        <v/>
      </c>
      <c r="L230" s="13">
        <f>IF($B230="","",ROUND(INDEX('Yuri - Book'!$Q:$Q,$B230),0))</f>
        <v/>
      </c>
      <c r="M230" s="11">
        <f>IF($B230="","",INDEX('Yuri - Book'!$P:$P,$B230))</f>
        <v/>
      </c>
    </row>
    <row r="231">
      <c r="A231" s="11" t="b">
        <v>0</v>
      </c>
      <c r="B231" s="11">
        <f>IFERROR(MATCH(164,'Yuri - Book'!$V$4:$V$203,0)+4-1,"")</f>
        <v/>
      </c>
      <c r="C231" s="11">
        <f>IF($B231="","",INDEX('Yuri - Book'!$A:$A,$B231))</f>
        <v/>
      </c>
      <c r="D231" s="11">
        <f>IF($B231="","",INDEX('Yuri - Book'!$B:$B,$B231))</f>
        <v/>
      </c>
      <c r="E231" s="12">
        <f>IF($B231="","",INDEX('Yuri - Book'!$J:$J,$B231))</f>
        <v/>
      </c>
      <c r="F231" s="11">
        <f>IF($B231="","","Yuri")</f>
        <v/>
      </c>
      <c r="G231" s="11">
        <f>IF($B231="","",INDEX('Yuri - Book'!$C:$C,$B231))</f>
        <v/>
      </c>
      <c r="H231" s="11">
        <f>IF($B231="","",INDEX('Yuri - Book'!$D:$D,$B231))</f>
        <v/>
      </c>
      <c r="I231" s="11">
        <f>IF($B231="","",INDEX('Yuri - Book'!$E:$E,$B231))</f>
        <v/>
      </c>
      <c r="J231" s="11">
        <f>IF($B231="","",INDEX('Yuri - Book'!$F:$F,$B231))</f>
        <v/>
      </c>
      <c r="K231" s="11">
        <f>IF($B231="","",INDEX('Yuri - Book'!$K:$K,$B231))</f>
        <v/>
      </c>
      <c r="L231" s="13">
        <f>IF($B231="","",ROUND(INDEX('Yuri - Book'!$Q:$Q,$B231),0))</f>
        <v/>
      </c>
      <c r="M231" s="11">
        <f>IF($B231="","",INDEX('Yuri - Book'!$P:$P,$B231))</f>
        <v/>
      </c>
    </row>
    <row r="232">
      <c r="A232" s="11" t="b">
        <v>0</v>
      </c>
      <c r="B232" s="11">
        <f>IFERROR(MATCH(165,'Yuri - Book'!$V$4:$V$203,0)+4-1,"")</f>
        <v/>
      </c>
      <c r="C232" s="11">
        <f>IF($B232="","",INDEX('Yuri - Book'!$A:$A,$B232))</f>
        <v/>
      </c>
      <c r="D232" s="11">
        <f>IF($B232="","",INDEX('Yuri - Book'!$B:$B,$B232))</f>
        <v/>
      </c>
      <c r="E232" s="12">
        <f>IF($B232="","",INDEX('Yuri - Book'!$J:$J,$B232))</f>
        <v/>
      </c>
      <c r="F232" s="11">
        <f>IF($B232="","","Yuri")</f>
        <v/>
      </c>
      <c r="G232" s="11">
        <f>IF($B232="","",INDEX('Yuri - Book'!$C:$C,$B232))</f>
        <v/>
      </c>
      <c r="H232" s="11">
        <f>IF($B232="","",INDEX('Yuri - Book'!$D:$D,$B232))</f>
        <v/>
      </c>
      <c r="I232" s="11">
        <f>IF($B232="","",INDEX('Yuri - Book'!$E:$E,$B232))</f>
        <v/>
      </c>
      <c r="J232" s="11">
        <f>IF($B232="","",INDEX('Yuri - Book'!$F:$F,$B232))</f>
        <v/>
      </c>
      <c r="K232" s="11">
        <f>IF($B232="","",INDEX('Yuri - Book'!$K:$K,$B232))</f>
        <v/>
      </c>
      <c r="L232" s="13">
        <f>IF($B232="","",ROUND(INDEX('Yuri - Book'!$Q:$Q,$B232),0))</f>
        <v/>
      </c>
      <c r="M232" s="11">
        <f>IF($B232="","",INDEX('Yuri - Book'!$P:$P,$B232))</f>
        <v/>
      </c>
    </row>
    <row r="233">
      <c r="A233" s="11" t="b">
        <v>0</v>
      </c>
      <c r="B233" s="11">
        <f>IFERROR(MATCH(166,'Yuri - Book'!$V$4:$V$203,0)+4-1,"")</f>
        <v/>
      </c>
      <c r="C233" s="11">
        <f>IF($B233="","",INDEX('Yuri - Book'!$A:$A,$B233))</f>
        <v/>
      </c>
      <c r="D233" s="11">
        <f>IF($B233="","",INDEX('Yuri - Book'!$B:$B,$B233))</f>
        <v/>
      </c>
      <c r="E233" s="12">
        <f>IF($B233="","",INDEX('Yuri - Book'!$J:$J,$B233))</f>
        <v/>
      </c>
      <c r="F233" s="11">
        <f>IF($B233="","","Yuri")</f>
        <v/>
      </c>
      <c r="G233" s="11">
        <f>IF($B233="","",INDEX('Yuri - Book'!$C:$C,$B233))</f>
        <v/>
      </c>
      <c r="H233" s="11">
        <f>IF($B233="","",INDEX('Yuri - Book'!$D:$D,$B233))</f>
        <v/>
      </c>
      <c r="I233" s="11">
        <f>IF($B233="","",INDEX('Yuri - Book'!$E:$E,$B233))</f>
        <v/>
      </c>
      <c r="J233" s="11">
        <f>IF($B233="","",INDEX('Yuri - Book'!$F:$F,$B233))</f>
        <v/>
      </c>
      <c r="K233" s="11">
        <f>IF($B233="","",INDEX('Yuri - Book'!$K:$K,$B233))</f>
        <v/>
      </c>
      <c r="L233" s="13">
        <f>IF($B233="","",ROUND(INDEX('Yuri - Book'!$Q:$Q,$B233),0))</f>
        <v/>
      </c>
      <c r="M233" s="11">
        <f>IF($B233="","",INDEX('Yuri - Book'!$P:$P,$B233))</f>
        <v/>
      </c>
    </row>
    <row r="234">
      <c r="A234" s="11" t="b">
        <v>0</v>
      </c>
      <c r="B234" s="11">
        <f>IFERROR(MATCH(167,'Yuri - Book'!$V$4:$V$203,0)+4-1,"")</f>
        <v/>
      </c>
      <c r="C234" s="11">
        <f>IF($B234="","",INDEX('Yuri - Book'!$A:$A,$B234))</f>
        <v/>
      </c>
      <c r="D234" s="11">
        <f>IF($B234="","",INDEX('Yuri - Book'!$B:$B,$B234))</f>
        <v/>
      </c>
      <c r="E234" s="12">
        <f>IF($B234="","",INDEX('Yuri - Book'!$J:$J,$B234))</f>
        <v/>
      </c>
      <c r="F234" s="11">
        <f>IF($B234="","","Yuri")</f>
        <v/>
      </c>
      <c r="G234" s="11">
        <f>IF($B234="","",INDEX('Yuri - Book'!$C:$C,$B234))</f>
        <v/>
      </c>
      <c r="H234" s="11">
        <f>IF($B234="","",INDEX('Yuri - Book'!$D:$D,$B234))</f>
        <v/>
      </c>
      <c r="I234" s="11">
        <f>IF($B234="","",INDEX('Yuri - Book'!$E:$E,$B234))</f>
        <v/>
      </c>
      <c r="J234" s="11">
        <f>IF($B234="","",INDEX('Yuri - Book'!$F:$F,$B234))</f>
        <v/>
      </c>
      <c r="K234" s="11">
        <f>IF($B234="","",INDEX('Yuri - Book'!$K:$K,$B234))</f>
        <v/>
      </c>
      <c r="L234" s="13">
        <f>IF($B234="","",ROUND(INDEX('Yuri - Book'!$Q:$Q,$B234),0))</f>
        <v/>
      </c>
      <c r="M234" s="11">
        <f>IF($B234="","",INDEX('Yuri - Book'!$P:$P,$B234))</f>
        <v/>
      </c>
    </row>
    <row r="235">
      <c r="A235" s="11" t="b">
        <v>0</v>
      </c>
      <c r="B235" s="11">
        <f>IFERROR(MATCH(168,'Yuri - Book'!$V$4:$V$203,0)+4-1,"")</f>
        <v/>
      </c>
      <c r="C235" s="11">
        <f>IF($B235="","",INDEX('Yuri - Book'!$A:$A,$B235))</f>
        <v/>
      </c>
      <c r="D235" s="11">
        <f>IF($B235="","",INDEX('Yuri - Book'!$B:$B,$B235))</f>
        <v/>
      </c>
      <c r="E235" s="12">
        <f>IF($B235="","",INDEX('Yuri - Book'!$J:$J,$B235))</f>
        <v/>
      </c>
      <c r="F235" s="11">
        <f>IF($B235="","","Yuri")</f>
        <v/>
      </c>
      <c r="G235" s="11">
        <f>IF($B235="","",INDEX('Yuri - Book'!$C:$C,$B235))</f>
        <v/>
      </c>
      <c r="H235" s="11">
        <f>IF($B235="","",INDEX('Yuri - Book'!$D:$D,$B235))</f>
        <v/>
      </c>
      <c r="I235" s="11">
        <f>IF($B235="","",INDEX('Yuri - Book'!$E:$E,$B235))</f>
        <v/>
      </c>
      <c r="J235" s="11">
        <f>IF($B235="","",INDEX('Yuri - Book'!$F:$F,$B235))</f>
        <v/>
      </c>
      <c r="K235" s="11">
        <f>IF($B235="","",INDEX('Yuri - Book'!$K:$K,$B235))</f>
        <v/>
      </c>
      <c r="L235" s="13">
        <f>IF($B235="","",ROUND(INDEX('Yuri - Book'!$Q:$Q,$B235),0))</f>
        <v/>
      </c>
      <c r="M235" s="11">
        <f>IF($B235="","",INDEX('Yuri - Book'!$P:$P,$B235))</f>
        <v/>
      </c>
    </row>
    <row r="236">
      <c r="A236" s="11" t="b">
        <v>0</v>
      </c>
      <c r="B236" s="11">
        <f>IFERROR(MATCH(169,'Yuri - Book'!$V$4:$V$203,0)+4-1,"")</f>
        <v/>
      </c>
      <c r="C236" s="11">
        <f>IF($B236="","",INDEX('Yuri - Book'!$A:$A,$B236))</f>
        <v/>
      </c>
      <c r="D236" s="11">
        <f>IF($B236="","",INDEX('Yuri - Book'!$B:$B,$B236))</f>
        <v/>
      </c>
      <c r="E236" s="12">
        <f>IF($B236="","",INDEX('Yuri - Book'!$J:$J,$B236))</f>
        <v/>
      </c>
      <c r="F236" s="11">
        <f>IF($B236="","","Yuri")</f>
        <v/>
      </c>
      <c r="G236" s="11">
        <f>IF($B236="","",INDEX('Yuri - Book'!$C:$C,$B236))</f>
        <v/>
      </c>
      <c r="H236" s="11">
        <f>IF($B236="","",INDEX('Yuri - Book'!$D:$D,$B236))</f>
        <v/>
      </c>
      <c r="I236" s="11">
        <f>IF($B236="","",INDEX('Yuri - Book'!$E:$E,$B236))</f>
        <v/>
      </c>
      <c r="J236" s="11">
        <f>IF($B236="","",INDEX('Yuri - Book'!$F:$F,$B236))</f>
        <v/>
      </c>
      <c r="K236" s="11">
        <f>IF($B236="","",INDEX('Yuri - Book'!$K:$K,$B236))</f>
        <v/>
      </c>
      <c r="L236" s="13">
        <f>IF($B236="","",ROUND(INDEX('Yuri - Book'!$Q:$Q,$B236),0))</f>
        <v/>
      </c>
      <c r="M236" s="11">
        <f>IF($B236="","",INDEX('Yuri - Book'!$P:$P,$B236))</f>
        <v/>
      </c>
    </row>
    <row r="237">
      <c r="A237" s="11" t="b">
        <v>0</v>
      </c>
      <c r="B237" s="11">
        <f>IFERROR(MATCH(170,'Yuri - Book'!$V$4:$V$203,0)+4-1,"")</f>
        <v/>
      </c>
      <c r="C237" s="11">
        <f>IF($B237="","",INDEX('Yuri - Book'!$A:$A,$B237))</f>
        <v/>
      </c>
      <c r="D237" s="11">
        <f>IF($B237="","",INDEX('Yuri - Book'!$B:$B,$B237))</f>
        <v/>
      </c>
      <c r="E237" s="12">
        <f>IF($B237="","",INDEX('Yuri - Book'!$J:$J,$B237))</f>
        <v/>
      </c>
      <c r="F237" s="11">
        <f>IF($B237="","","Yuri")</f>
        <v/>
      </c>
      <c r="G237" s="11">
        <f>IF($B237="","",INDEX('Yuri - Book'!$C:$C,$B237))</f>
        <v/>
      </c>
      <c r="H237" s="11">
        <f>IF($B237="","",INDEX('Yuri - Book'!$D:$D,$B237))</f>
        <v/>
      </c>
      <c r="I237" s="11">
        <f>IF($B237="","",INDEX('Yuri - Book'!$E:$E,$B237))</f>
        <v/>
      </c>
      <c r="J237" s="11">
        <f>IF($B237="","",INDEX('Yuri - Book'!$F:$F,$B237))</f>
        <v/>
      </c>
      <c r="K237" s="11">
        <f>IF($B237="","",INDEX('Yuri - Book'!$K:$K,$B237))</f>
        <v/>
      </c>
      <c r="L237" s="13">
        <f>IF($B237="","",ROUND(INDEX('Yuri - Book'!$Q:$Q,$B237),0))</f>
        <v/>
      </c>
      <c r="M237" s="11">
        <f>IF($B237="","",INDEX('Yuri - Book'!$P:$P,$B237))</f>
        <v/>
      </c>
    </row>
    <row r="238">
      <c r="A238" s="11" t="b">
        <v>0</v>
      </c>
      <c r="B238" s="11">
        <f>IFERROR(MATCH(171,'Yuri - Book'!$V$4:$V$203,0)+4-1,"")</f>
        <v/>
      </c>
      <c r="C238" s="11">
        <f>IF($B238="","",INDEX('Yuri - Book'!$A:$A,$B238))</f>
        <v/>
      </c>
      <c r="D238" s="11">
        <f>IF($B238="","",INDEX('Yuri - Book'!$B:$B,$B238))</f>
        <v/>
      </c>
      <c r="E238" s="12">
        <f>IF($B238="","",INDEX('Yuri - Book'!$J:$J,$B238))</f>
        <v/>
      </c>
      <c r="F238" s="11">
        <f>IF($B238="","","Yuri")</f>
        <v/>
      </c>
      <c r="G238" s="11">
        <f>IF($B238="","",INDEX('Yuri - Book'!$C:$C,$B238))</f>
        <v/>
      </c>
      <c r="H238" s="11">
        <f>IF($B238="","",INDEX('Yuri - Book'!$D:$D,$B238))</f>
        <v/>
      </c>
      <c r="I238" s="11">
        <f>IF($B238="","",INDEX('Yuri - Book'!$E:$E,$B238))</f>
        <v/>
      </c>
      <c r="J238" s="11">
        <f>IF($B238="","",INDEX('Yuri - Book'!$F:$F,$B238))</f>
        <v/>
      </c>
      <c r="K238" s="11">
        <f>IF($B238="","",INDEX('Yuri - Book'!$K:$K,$B238))</f>
        <v/>
      </c>
      <c r="L238" s="13">
        <f>IF($B238="","",ROUND(INDEX('Yuri - Book'!$Q:$Q,$B238),0))</f>
        <v/>
      </c>
      <c r="M238" s="11">
        <f>IF($B238="","",INDEX('Yuri - Book'!$P:$P,$B238))</f>
        <v/>
      </c>
    </row>
    <row r="239">
      <c r="A239" s="11" t="b">
        <v>0</v>
      </c>
      <c r="B239" s="11">
        <f>IFERROR(MATCH(172,'Yuri - Book'!$V$4:$V$203,0)+4-1,"")</f>
        <v/>
      </c>
      <c r="C239" s="11">
        <f>IF($B239="","",INDEX('Yuri - Book'!$A:$A,$B239))</f>
        <v/>
      </c>
      <c r="D239" s="11">
        <f>IF($B239="","",INDEX('Yuri - Book'!$B:$B,$B239))</f>
        <v/>
      </c>
      <c r="E239" s="12">
        <f>IF($B239="","",INDEX('Yuri - Book'!$J:$J,$B239))</f>
        <v/>
      </c>
      <c r="F239" s="11">
        <f>IF($B239="","","Yuri")</f>
        <v/>
      </c>
      <c r="G239" s="11">
        <f>IF($B239="","",INDEX('Yuri - Book'!$C:$C,$B239))</f>
        <v/>
      </c>
      <c r="H239" s="11">
        <f>IF($B239="","",INDEX('Yuri - Book'!$D:$D,$B239))</f>
        <v/>
      </c>
      <c r="I239" s="11">
        <f>IF($B239="","",INDEX('Yuri - Book'!$E:$E,$B239))</f>
        <v/>
      </c>
      <c r="J239" s="11">
        <f>IF($B239="","",INDEX('Yuri - Book'!$F:$F,$B239))</f>
        <v/>
      </c>
      <c r="K239" s="11">
        <f>IF($B239="","",INDEX('Yuri - Book'!$K:$K,$B239))</f>
        <v/>
      </c>
      <c r="L239" s="13">
        <f>IF($B239="","",ROUND(INDEX('Yuri - Book'!$Q:$Q,$B239),0))</f>
        <v/>
      </c>
      <c r="M239" s="11">
        <f>IF($B239="","",INDEX('Yuri - Book'!$P:$P,$B239))</f>
        <v/>
      </c>
    </row>
    <row r="240">
      <c r="A240" s="11" t="b">
        <v>0</v>
      </c>
      <c r="B240" s="11">
        <f>IFERROR(MATCH(173,'Yuri - Book'!$V$4:$V$203,0)+4-1,"")</f>
        <v/>
      </c>
      <c r="C240" s="11">
        <f>IF($B240="","",INDEX('Yuri - Book'!$A:$A,$B240))</f>
        <v/>
      </c>
      <c r="D240" s="11">
        <f>IF($B240="","",INDEX('Yuri - Book'!$B:$B,$B240))</f>
        <v/>
      </c>
      <c r="E240" s="12">
        <f>IF($B240="","",INDEX('Yuri - Book'!$J:$J,$B240))</f>
        <v/>
      </c>
      <c r="F240" s="11">
        <f>IF($B240="","","Yuri")</f>
        <v/>
      </c>
      <c r="G240" s="11">
        <f>IF($B240="","",INDEX('Yuri - Book'!$C:$C,$B240))</f>
        <v/>
      </c>
      <c r="H240" s="11">
        <f>IF($B240="","",INDEX('Yuri - Book'!$D:$D,$B240))</f>
        <v/>
      </c>
      <c r="I240" s="11">
        <f>IF($B240="","",INDEX('Yuri - Book'!$E:$E,$B240))</f>
        <v/>
      </c>
      <c r="J240" s="11">
        <f>IF($B240="","",INDEX('Yuri - Book'!$F:$F,$B240))</f>
        <v/>
      </c>
      <c r="K240" s="11">
        <f>IF($B240="","",INDEX('Yuri - Book'!$K:$K,$B240))</f>
        <v/>
      </c>
      <c r="L240" s="13">
        <f>IF($B240="","",ROUND(INDEX('Yuri - Book'!$Q:$Q,$B240),0))</f>
        <v/>
      </c>
      <c r="M240" s="11">
        <f>IF($B240="","",INDEX('Yuri - Book'!$P:$P,$B240))</f>
        <v/>
      </c>
    </row>
    <row r="241">
      <c r="A241" s="11" t="b">
        <v>0</v>
      </c>
      <c r="B241" s="11">
        <f>IFERROR(MATCH(174,'Yuri - Book'!$V$4:$V$203,0)+4-1,"")</f>
        <v/>
      </c>
      <c r="C241" s="11">
        <f>IF($B241="","",INDEX('Yuri - Book'!$A:$A,$B241))</f>
        <v/>
      </c>
      <c r="D241" s="11">
        <f>IF($B241="","",INDEX('Yuri - Book'!$B:$B,$B241))</f>
        <v/>
      </c>
      <c r="E241" s="12">
        <f>IF($B241="","",INDEX('Yuri - Book'!$J:$J,$B241))</f>
        <v/>
      </c>
      <c r="F241" s="11">
        <f>IF($B241="","","Yuri")</f>
        <v/>
      </c>
      <c r="G241" s="11">
        <f>IF($B241="","",INDEX('Yuri - Book'!$C:$C,$B241))</f>
        <v/>
      </c>
      <c r="H241" s="11">
        <f>IF($B241="","",INDEX('Yuri - Book'!$D:$D,$B241))</f>
        <v/>
      </c>
      <c r="I241" s="11">
        <f>IF($B241="","",INDEX('Yuri - Book'!$E:$E,$B241))</f>
        <v/>
      </c>
      <c r="J241" s="11">
        <f>IF($B241="","",INDEX('Yuri - Book'!$F:$F,$B241))</f>
        <v/>
      </c>
      <c r="K241" s="11">
        <f>IF($B241="","",INDEX('Yuri - Book'!$K:$K,$B241))</f>
        <v/>
      </c>
      <c r="L241" s="13">
        <f>IF($B241="","",ROUND(INDEX('Yuri - Book'!$Q:$Q,$B241),0))</f>
        <v/>
      </c>
      <c r="M241" s="11">
        <f>IF($B241="","",INDEX('Yuri - Book'!$P:$P,$B241))</f>
        <v/>
      </c>
    </row>
    <row r="242">
      <c r="A242" s="11" t="b">
        <v>0</v>
      </c>
      <c r="B242" s="11">
        <f>IFERROR(MATCH(175,'Yuri - Book'!$V$4:$V$203,0)+4-1,"")</f>
        <v/>
      </c>
      <c r="C242" s="11">
        <f>IF($B242="","",INDEX('Yuri - Book'!$A:$A,$B242))</f>
        <v/>
      </c>
      <c r="D242" s="11">
        <f>IF($B242="","",INDEX('Yuri - Book'!$B:$B,$B242))</f>
        <v/>
      </c>
      <c r="E242" s="12">
        <f>IF($B242="","",INDEX('Yuri - Book'!$J:$J,$B242))</f>
        <v/>
      </c>
      <c r="F242" s="11">
        <f>IF($B242="","","Yuri")</f>
        <v/>
      </c>
      <c r="G242" s="11">
        <f>IF($B242="","",INDEX('Yuri - Book'!$C:$C,$B242))</f>
        <v/>
      </c>
      <c r="H242" s="11">
        <f>IF($B242="","",INDEX('Yuri - Book'!$D:$D,$B242))</f>
        <v/>
      </c>
      <c r="I242" s="11">
        <f>IF($B242="","",INDEX('Yuri - Book'!$E:$E,$B242))</f>
        <v/>
      </c>
      <c r="J242" s="11">
        <f>IF($B242="","",INDEX('Yuri - Book'!$F:$F,$B242))</f>
        <v/>
      </c>
      <c r="K242" s="11">
        <f>IF($B242="","",INDEX('Yuri - Book'!$K:$K,$B242))</f>
        <v/>
      </c>
      <c r="L242" s="13">
        <f>IF($B242="","",ROUND(INDEX('Yuri - Book'!$Q:$Q,$B242),0))</f>
        <v/>
      </c>
      <c r="M242" s="11">
        <f>IF($B242="","",INDEX('Yuri - Book'!$P:$P,$B242))</f>
        <v/>
      </c>
    </row>
    <row r="243">
      <c r="A243" s="11" t="b">
        <v>0</v>
      </c>
      <c r="B243" s="11">
        <f>IFERROR(MATCH(176,'Yuri - Book'!$V$4:$V$203,0)+4-1,"")</f>
        <v/>
      </c>
      <c r="C243" s="11">
        <f>IF($B243="","",INDEX('Yuri - Book'!$A:$A,$B243))</f>
        <v/>
      </c>
      <c r="D243" s="11">
        <f>IF($B243="","",INDEX('Yuri - Book'!$B:$B,$B243))</f>
        <v/>
      </c>
      <c r="E243" s="12">
        <f>IF($B243="","",INDEX('Yuri - Book'!$J:$J,$B243))</f>
        <v/>
      </c>
      <c r="F243" s="11">
        <f>IF($B243="","","Yuri")</f>
        <v/>
      </c>
      <c r="G243" s="11">
        <f>IF($B243="","",INDEX('Yuri - Book'!$C:$C,$B243))</f>
        <v/>
      </c>
      <c r="H243" s="11">
        <f>IF($B243="","",INDEX('Yuri - Book'!$D:$D,$B243))</f>
        <v/>
      </c>
      <c r="I243" s="11">
        <f>IF($B243="","",INDEX('Yuri - Book'!$E:$E,$B243))</f>
        <v/>
      </c>
      <c r="J243" s="11">
        <f>IF($B243="","",INDEX('Yuri - Book'!$F:$F,$B243))</f>
        <v/>
      </c>
      <c r="K243" s="11">
        <f>IF($B243="","",INDEX('Yuri - Book'!$K:$K,$B243))</f>
        <v/>
      </c>
      <c r="L243" s="13">
        <f>IF($B243="","",ROUND(INDEX('Yuri - Book'!$Q:$Q,$B243),0))</f>
        <v/>
      </c>
      <c r="M243" s="11">
        <f>IF($B243="","",INDEX('Yuri - Book'!$P:$P,$B243))</f>
        <v/>
      </c>
    </row>
    <row r="244">
      <c r="A244" s="11" t="b">
        <v>0</v>
      </c>
      <c r="B244" s="11">
        <f>IFERROR(MATCH(177,'Yuri - Book'!$V$4:$V$203,0)+4-1,"")</f>
        <v/>
      </c>
      <c r="C244" s="11">
        <f>IF($B244="","",INDEX('Yuri - Book'!$A:$A,$B244))</f>
        <v/>
      </c>
      <c r="D244" s="11">
        <f>IF($B244="","",INDEX('Yuri - Book'!$B:$B,$B244))</f>
        <v/>
      </c>
      <c r="E244" s="12">
        <f>IF($B244="","",INDEX('Yuri - Book'!$J:$J,$B244))</f>
        <v/>
      </c>
      <c r="F244" s="11">
        <f>IF($B244="","","Yuri")</f>
        <v/>
      </c>
      <c r="G244" s="11">
        <f>IF($B244="","",INDEX('Yuri - Book'!$C:$C,$B244))</f>
        <v/>
      </c>
      <c r="H244" s="11">
        <f>IF($B244="","",INDEX('Yuri - Book'!$D:$D,$B244))</f>
        <v/>
      </c>
      <c r="I244" s="11">
        <f>IF($B244="","",INDEX('Yuri - Book'!$E:$E,$B244))</f>
        <v/>
      </c>
      <c r="J244" s="11">
        <f>IF($B244="","",INDEX('Yuri - Book'!$F:$F,$B244))</f>
        <v/>
      </c>
      <c r="K244" s="11">
        <f>IF($B244="","",INDEX('Yuri - Book'!$K:$K,$B244))</f>
        <v/>
      </c>
      <c r="L244" s="13">
        <f>IF($B244="","",ROUND(INDEX('Yuri - Book'!$Q:$Q,$B244),0))</f>
        <v/>
      </c>
      <c r="M244" s="11">
        <f>IF($B244="","",INDEX('Yuri - Book'!$P:$P,$B244))</f>
        <v/>
      </c>
    </row>
    <row r="245">
      <c r="A245" s="11" t="b">
        <v>0</v>
      </c>
      <c r="B245" s="11">
        <f>IFERROR(MATCH(178,'Yuri - Book'!$V$4:$V$203,0)+4-1,"")</f>
        <v/>
      </c>
      <c r="C245" s="11">
        <f>IF($B245="","",INDEX('Yuri - Book'!$A:$A,$B245))</f>
        <v/>
      </c>
      <c r="D245" s="11">
        <f>IF($B245="","",INDEX('Yuri - Book'!$B:$B,$B245))</f>
        <v/>
      </c>
      <c r="E245" s="12">
        <f>IF($B245="","",INDEX('Yuri - Book'!$J:$J,$B245))</f>
        <v/>
      </c>
      <c r="F245" s="11">
        <f>IF($B245="","","Yuri")</f>
        <v/>
      </c>
      <c r="G245" s="11">
        <f>IF($B245="","",INDEX('Yuri - Book'!$C:$C,$B245))</f>
        <v/>
      </c>
      <c r="H245" s="11">
        <f>IF($B245="","",INDEX('Yuri - Book'!$D:$D,$B245))</f>
        <v/>
      </c>
      <c r="I245" s="11">
        <f>IF($B245="","",INDEX('Yuri - Book'!$E:$E,$B245))</f>
        <v/>
      </c>
      <c r="J245" s="11">
        <f>IF($B245="","",INDEX('Yuri - Book'!$F:$F,$B245))</f>
        <v/>
      </c>
      <c r="K245" s="11">
        <f>IF($B245="","",INDEX('Yuri - Book'!$K:$K,$B245))</f>
        <v/>
      </c>
      <c r="L245" s="13">
        <f>IF($B245="","",ROUND(INDEX('Yuri - Book'!$Q:$Q,$B245),0))</f>
        <v/>
      </c>
      <c r="M245" s="11">
        <f>IF($B245="","",INDEX('Yuri - Book'!$P:$P,$B245))</f>
        <v/>
      </c>
    </row>
    <row r="246">
      <c r="A246" s="11" t="b">
        <v>0</v>
      </c>
      <c r="B246" s="11">
        <f>IFERROR(MATCH(179,'Yuri - Book'!$V$4:$V$203,0)+4-1,"")</f>
        <v/>
      </c>
      <c r="C246" s="11">
        <f>IF($B246="","",INDEX('Yuri - Book'!$A:$A,$B246))</f>
        <v/>
      </c>
      <c r="D246" s="11">
        <f>IF($B246="","",INDEX('Yuri - Book'!$B:$B,$B246))</f>
        <v/>
      </c>
      <c r="E246" s="12">
        <f>IF($B246="","",INDEX('Yuri - Book'!$J:$J,$B246))</f>
        <v/>
      </c>
      <c r="F246" s="11">
        <f>IF($B246="","","Yuri")</f>
        <v/>
      </c>
      <c r="G246" s="11">
        <f>IF($B246="","",INDEX('Yuri - Book'!$C:$C,$B246))</f>
        <v/>
      </c>
      <c r="H246" s="11">
        <f>IF($B246="","",INDEX('Yuri - Book'!$D:$D,$B246))</f>
        <v/>
      </c>
      <c r="I246" s="11">
        <f>IF($B246="","",INDEX('Yuri - Book'!$E:$E,$B246))</f>
        <v/>
      </c>
      <c r="J246" s="11">
        <f>IF($B246="","",INDEX('Yuri - Book'!$F:$F,$B246))</f>
        <v/>
      </c>
      <c r="K246" s="11">
        <f>IF($B246="","",INDEX('Yuri - Book'!$K:$K,$B246))</f>
        <v/>
      </c>
      <c r="L246" s="13">
        <f>IF($B246="","",ROUND(INDEX('Yuri - Book'!$Q:$Q,$B246),0))</f>
        <v/>
      </c>
      <c r="M246" s="11">
        <f>IF($B246="","",INDEX('Yuri - Book'!$P:$P,$B246))</f>
        <v/>
      </c>
    </row>
    <row r="247">
      <c r="A247" s="11" t="b">
        <v>0</v>
      </c>
      <c r="B247" s="11">
        <f>IFERROR(MATCH(180,'Yuri - Book'!$V$4:$V$203,0)+4-1,"")</f>
        <v/>
      </c>
      <c r="C247" s="11">
        <f>IF($B247="","",INDEX('Yuri - Book'!$A:$A,$B247))</f>
        <v/>
      </c>
      <c r="D247" s="11">
        <f>IF($B247="","",INDEX('Yuri - Book'!$B:$B,$B247))</f>
        <v/>
      </c>
      <c r="E247" s="12">
        <f>IF($B247="","",INDEX('Yuri - Book'!$J:$J,$B247))</f>
        <v/>
      </c>
      <c r="F247" s="11">
        <f>IF($B247="","","Yuri")</f>
        <v/>
      </c>
      <c r="G247" s="11">
        <f>IF($B247="","",INDEX('Yuri - Book'!$C:$C,$B247))</f>
        <v/>
      </c>
      <c r="H247" s="11">
        <f>IF($B247="","",INDEX('Yuri - Book'!$D:$D,$B247))</f>
        <v/>
      </c>
      <c r="I247" s="11">
        <f>IF($B247="","",INDEX('Yuri - Book'!$E:$E,$B247))</f>
        <v/>
      </c>
      <c r="J247" s="11">
        <f>IF($B247="","",INDEX('Yuri - Book'!$F:$F,$B247))</f>
        <v/>
      </c>
      <c r="K247" s="11">
        <f>IF($B247="","",INDEX('Yuri - Book'!$K:$K,$B247))</f>
        <v/>
      </c>
      <c r="L247" s="13">
        <f>IF($B247="","",ROUND(INDEX('Yuri - Book'!$Q:$Q,$B247),0))</f>
        <v/>
      </c>
      <c r="M247" s="11">
        <f>IF($B247="","",INDEX('Yuri - Book'!$P:$P,$B247))</f>
        <v/>
      </c>
    </row>
    <row r="248">
      <c r="A248" s="11" t="b">
        <v>0</v>
      </c>
      <c r="B248" s="11">
        <f>IFERROR(MATCH(181,'Yuri - Book'!$V$4:$V$203,0)+4-1,"")</f>
        <v/>
      </c>
      <c r="C248" s="11">
        <f>IF($B248="","",INDEX('Yuri - Book'!$A:$A,$B248))</f>
        <v/>
      </c>
      <c r="D248" s="11">
        <f>IF($B248="","",INDEX('Yuri - Book'!$B:$B,$B248))</f>
        <v/>
      </c>
      <c r="E248" s="12">
        <f>IF($B248="","",INDEX('Yuri - Book'!$J:$J,$B248))</f>
        <v/>
      </c>
      <c r="F248" s="11">
        <f>IF($B248="","","Yuri")</f>
        <v/>
      </c>
      <c r="G248" s="11">
        <f>IF($B248="","",INDEX('Yuri - Book'!$C:$C,$B248))</f>
        <v/>
      </c>
      <c r="H248" s="11">
        <f>IF($B248="","",INDEX('Yuri - Book'!$D:$D,$B248))</f>
        <v/>
      </c>
      <c r="I248" s="11">
        <f>IF($B248="","",INDEX('Yuri - Book'!$E:$E,$B248))</f>
        <v/>
      </c>
      <c r="J248" s="11">
        <f>IF($B248="","",INDEX('Yuri - Book'!$F:$F,$B248))</f>
        <v/>
      </c>
      <c r="K248" s="11">
        <f>IF($B248="","",INDEX('Yuri - Book'!$K:$K,$B248))</f>
        <v/>
      </c>
      <c r="L248" s="13">
        <f>IF($B248="","",ROUND(INDEX('Yuri - Book'!$Q:$Q,$B248),0))</f>
        <v/>
      </c>
      <c r="M248" s="11">
        <f>IF($B248="","",INDEX('Yuri - Book'!$P:$P,$B248))</f>
        <v/>
      </c>
    </row>
    <row r="249">
      <c r="A249" s="11" t="b">
        <v>0</v>
      </c>
      <c r="B249" s="11">
        <f>IFERROR(MATCH(182,'Yuri - Book'!$V$4:$V$203,0)+4-1,"")</f>
        <v/>
      </c>
      <c r="C249" s="11">
        <f>IF($B249="","",INDEX('Yuri - Book'!$A:$A,$B249))</f>
        <v/>
      </c>
      <c r="D249" s="11">
        <f>IF($B249="","",INDEX('Yuri - Book'!$B:$B,$B249))</f>
        <v/>
      </c>
      <c r="E249" s="12">
        <f>IF($B249="","",INDEX('Yuri - Book'!$J:$J,$B249))</f>
        <v/>
      </c>
      <c r="F249" s="11">
        <f>IF($B249="","","Yuri")</f>
        <v/>
      </c>
      <c r="G249" s="11">
        <f>IF($B249="","",INDEX('Yuri - Book'!$C:$C,$B249))</f>
        <v/>
      </c>
      <c r="H249" s="11">
        <f>IF($B249="","",INDEX('Yuri - Book'!$D:$D,$B249))</f>
        <v/>
      </c>
      <c r="I249" s="11">
        <f>IF($B249="","",INDEX('Yuri - Book'!$E:$E,$B249))</f>
        <v/>
      </c>
      <c r="J249" s="11">
        <f>IF($B249="","",INDEX('Yuri - Book'!$F:$F,$B249))</f>
        <v/>
      </c>
      <c r="K249" s="11">
        <f>IF($B249="","",INDEX('Yuri - Book'!$K:$K,$B249))</f>
        <v/>
      </c>
      <c r="L249" s="13">
        <f>IF($B249="","",ROUND(INDEX('Yuri - Book'!$Q:$Q,$B249),0))</f>
        <v/>
      </c>
      <c r="M249" s="11">
        <f>IF($B249="","",INDEX('Yuri - Book'!$P:$P,$B249))</f>
        <v/>
      </c>
    </row>
    <row r="250">
      <c r="A250" s="11" t="b">
        <v>0</v>
      </c>
      <c r="B250" s="11">
        <f>IFERROR(MATCH(183,'Yuri - Book'!$V$4:$V$203,0)+4-1,"")</f>
        <v/>
      </c>
      <c r="C250" s="11">
        <f>IF($B250="","",INDEX('Yuri - Book'!$A:$A,$B250))</f>
        <v/>
      </c>
      <c r="D250" s="11">
        <f>IF($B250="","",INDEX('Yuri - Book'!$B:$B,$B250))</f>
        <v/>
      </c>
      <c r="E250" s="12">
        <f>IF($B250="","",INDEX('Yuri - Book'!$J:$J,$B250))</f>
        <v/>
      </c>
      <c r="F250" s="11">
        <f>IF($B250="","","Yuri")</f>
        <v/>
      </c>
      <c r="G250" s="11">
        <f>IF($B250="","",INDEX('Yuri - Book'!$C:$C,$B250))</f>
        <v/>
      </c>
      <c r="H250" s="11">
        <f>IF($B250="","",INDEX('Yuri - Book'!$D:$D,$B250))</f>
        <v/>
      </c>
      <c r="I250" s="11">
        <f>IF($B250="","",INDEX('Yuri - Book'!$E:$E,$B250))</f>
        <v/>
      </c>
      <c r="J250" s="11">
        <f>IF($B250="","",INDEX('Yuri - Book'!$F:$F,$B250))</f>
        <v/>
      </c>
      <c r="K250" s="11">
        <f>IF($B250="","",INDEX('Yuri - Book'!$K:$K,$B250))</f>
        <v/>
      </c>
      <c r="L250" s="13">
        <f>IF($B250="","",ROUND(INDEX('Yuri - Book'!$Q:$Q,$B250),0))</f>
        <v/>
      </c>
      <c r="M250" s="11">
        <f>IF($B250="","",INDEX('Yuri - Book'!$P:$P,$B250))</f>
        <v/>
      </c>
    </row>
    <row r="251">
      <c r="A251" s="11" t="b">
        <v>0</v>
      </c>
      <c r="B251" s="11">
        <f>IFERROR(MATCH(184,'Yuri - Book'!$V$4:$V$203,0)+4-1,"")</f>
        <v/>
      </c>
      <c r="C251" s="11">
        <f>IF($B251="","",INDEX('Yuri - Book'!$A:$A,$B251))</f>
        <v/>
      </c>
      <c r="D251" s="11">
        <f>IF($B251="","",INDEX('Yuri - Book'!$B:$B,$B251))</f>
        <v/>
      </c>
      <c r="E251" s="12">
        <f>IF($B251="","",INDEX('Yuri - Book'!$J:$J,$B251))</f>
        <v/>
      </c>
      <c r="F251" s="11">
        <f>IF($B251="","","Yuri")</f>
        <v/>
      </c>
      <c r="G251" s="11">
        <f>IF($B251="","",INDEX('Yuri - Book'!$C:$C,$B251))</f>
        <v/>
      </c>
      <c r="H251" s="11">
        <f>IF($B251="","",INDEX('Yuri - Book'!$D:$D,$B251))</f>
        <v/>
      </c>
      <c r="I251" s="11">
        <f>IF($B251="","",INDEX('Yuri - Book'!$E:$E,$B251))</f>
        <v/>
      </c>
      <c r="J251" s="11">
        <f>IF($B251="","",INDEX('Yuri - Book'!$F:$F,$B251))</f>
        <v/>
      </c>
      <c r="K251" s="11">
        <f>IF($B251="","",INDEX('Yuri - Book'!$K:$K,$B251))</f>
        <v/>
      </c>
      <c r="L251" s="13">
        <f>IF($B251="","",ROUND(INDEX('Yuri - Book'!$Q:$Q,$B251),0))</f>
        <v/>
      </c>
      <c r="M251" s="11">
        <f>IF($B251="","",INDEX('Yuri - Book'!$P:$P,$B251))</f>
        <v/>
      </c>
    </row>
    <row r="252">
      <c r="A252" s="11" t="b">
        <v>0</v>
      </c>
      <c r="B252" s="11">
        <f>IFERROR(MATCH(185,'Yuri - Book'!$V$4:$V$203,0)+4-1,"")</f>
        <v/>
      </c>
      <c r="C252" s="11">
        <f>IF($B252="","",INDEX('Yuri - Book'!$A:$A,$B252))</f>
        <v/>
      </c>
      <c r="D252" s="11">
        <f>IF($B252="","",INDEX('Yuri - Book'!$B:$B,$B252))</f>
        <v/>
      </c>
      <c r="E252" s="12">
        <f>IF($B252="","",INDEX('Yuri - Book'!$J:$J,$B252))</f>
        <v/>
      </c>
      <c r="F252" s="11">
        <f>IF($B252="","","Yuri")</f>
        <v/>
      </c>
      <c r="G252" s="11">
        <f>IF($B252="","",INDEX('Yuri - Book'!$C:$C,$B252))</f>
        <v/>
      </c>
      <c r="H252" s="11">
        <f>IF($B252="","",INDEX('Yuri - Book'!$D:$D,$B252))</f>
        <v/>
      </c>
      <c r="I252" s="11">
        <f>IF($B252="","",INDEX('Yuri - Book'!$E:$E,$B252))</f>
        <v/>
      </c>
      <c r="J252" s="11">
        <f>IF($B252="","",INDEX('Yuri - Book'!$F:$F,$B252))</f>
        <v/>
      </c>
      <c r="K252" s="11">
        <f>IF($B252="","",INDEX('Yuri - Book'!$K:$K,$B252))</f>
        <v/>
      </c>
      <c r="L252" s="13">
        <f>IF($B252="","",ROUND(INDEX('Yuri - Book'!$Q:$Q,$B252),0))</f>
        <v/>
      </c>
      <c r="M252" s="11">
        <f>IF($B252="","",INDEX('Yuri - Book'!$P:$P,$B252))</f>
        <v/>
      </c>
    </row>
    <row r="253">
      <c r="A253" s="11" t="b">
        <v>0</v>
      </c>
      <c r="B253" s="11">
        <f>IFERROR(MATCH(186,'Yuri - Book'!$V$4:$V$203,0)+4-1,"")</f>
        <v/>
      </c>
      <c r="C253" s="11">
        <f>IF($B253="","",INDEX('Yuri - Book'!$A:$A,$B253))</f>
        <v/>
      </c>
      <c r="D253" s="11">
        <f>IF($B253="","",INDEX('Yuri - Book'!$B:$B,$B253))</f>
        <v/>
      </c>
      <c r="E253" s="12">
        <f>IF($B253="","",INDEX('Yuri - Book'!$J:$J,$B253))</f>
        <v/>
      </c>
      <c r="F253" s="11">
        <f>IF($B253="","","Yuri")</f>
        <v/>
      </c>
      <c r="G253" s="11">
        <f>IF($B253="","",INDEX('Yuri - Book'!$C:$C,$B253))</f>
        <v/>
      </c>
      <c r="H253" s="11">
        <f>IF($B253="","",INDEX('Yuri - Book'!$D:$D,$B253))</f>
        <v/>
      </c>
      <c r="I253" s="11">
        <f>IF($B253="","",INDEX('Yuri - Book'!$E:$E,$B253))</f>
        <v/>
      </c>
      <c r="J253" s="11">
        <f>IF($B253="","",INDEX('Yuri - Book'!$F:$F,$B253))</f>
        <v/>
      </c>
      <c r="K253" s="11">
        <f>IF($B253="","",INDEX('Yuri - Book'!$K:$K,$B253))</f>
        <v/>
      </c>
      <c r="L253" s="13">
        <f>IF($B253="","",ROUND(INDEX('Yuri - Book'!$Q:$Q,$B253),0))</f>
        <v/>
      </c>
      <c r="M253" s="11">
        <f>IF($B253="","",INDEX('Yuri - Book'!$P:$P,$B253))</f>
        <v/>
      </c>
    </row>
    <row r="254">
      <c r="A254" s="11" t="b">
        <v>0</v>
      </c>
      <c r="B254" s="11">
        <f>IFERROR(MATCH(187,'Yuri - Book'!$V$4:$V$203,0)+4-1,"")</f>
        <v/>
      </c>
      <c r="C254" s="11">
        <f>IF($B254="","",INDEX('Yuri - Book'!$A:$A,$B254))</f>
        <v/>
      </c>
      <c r="D254" s="11">
        <f>IF($B254="","",INDEX('Yuri - Book'!$B:$B,$B254))</f>
        <v/>
      </c>
      <c r="E254" s="12">
        <f>IF($B254="","",INDEX('Yuri - Book'!$J:$J,$B254))</f>
        <v/>
      </c>
      <c r="F254" s="11">
        <f>IF($B254="","","Yuri")</f>
        <v/>
      </c>
      <c r="G254" s="11">
        <f>IF($B254="","",INDEX('Yuri - Book'!$C:$C,$B254))</f>
        <v/>
      </c>
      <c r="H254" s="11">
        <f>IF($B254="","",INDEX('Yuri - Book'!$D:$D,$B254))</f>
        <v/>
      </c>
      <c r="I254" s="11">
        <f>IF($B254="","",INDEX('Yuri - Book'!$E:$E,$B254))</f>
        <v/>
      </c>
      <c r="J254" s="11">
        <f>IF($B254="","",INDEX('Yuri - Book'!$F:$F,$B254))</f>
        <v/>
      </c>
      <c r="K254" s="11">
        <f>IF($B254="","",INDEX('Yuri - Book'!$K:$K,$B254))</f>
        <v/>
      </c>
      <c r="L254" s="13">
        <f>IF($B254="","",ROUND(INDEX('Yuri - Book'!$Q:$Q,$B254),0))</f>
        <v/>
      </c>
      <c r="M254" s="11">
        <f>IF($B254="","",INDEX('Yuri - Book'!$P:$P,$B254))</f>
        <v/>
      </c>
    </row>
    <row r="255">
      <c r="A255" s="11" t="b">
        <v>0</v>
      </c>
      <c r="B255" s="11">
        <f>IFERROR(MATCH(188,'Yuri - Book'!$V$4:$V$203,0)+4-1,"")</f>
        <v/>
      </c>
      <c r="C255" s="11">
        <f>IF($B255="","",INDEX('Yuri - Book'!$A:$A,$B255))</f>
        <v/>
      </c>
      <c r="D255" s="11">
        <f>IF($B255="","",INDEX('Yuri - Book'!$B:$B,$B255))</f>
        <v/>
      </c>
      <c r="E255" s="12">
        <f>IF($B255="","",INDEX('Yuri - Book'!$J:$J,$B255))</f>
        <v/>
      </c>
      <c r="F255" s="11">
        <f>IF($B255="","","Yuri")</f>
        <v/>
      </c>
      <c r="G255" s="11">
        <f>IF($B255="","",INDEX('Yuri - Book'!$C:$C,$B255))</f>
        <v/>
      </c>
      <c r="H255" s="11">
        <f>IF($B255="","",INDEX('Yuri - Book'!$D:$D,$B255))</f>
        <v/>
      </c>
      <c r="I255" s="11">
        <f>IF($B255="","",INDEX('Yuri - Book'!$E:$E,$B255))</f>
        <v/>
      </c>
      <c r="J255" s="11">
        <f>IF($B255="","",INDEX('Yuri - Book'!$F:$F,$B255))</f>
        <v/>
      </c>
      <c r="K255" s="11">
        <f>IF($B255="","",INDEX('Yuri - Book'!$K:$K,$B255))</f>
        <v/>
      </c>
      <c r="L255" s="13">
        <f>IF($B255="","",ROUND(INDEX('Yuri - Book'!$Q:$Q,$B255),0))</f>
        <v/>
      </c>
      <c r="M255" s="11">
        <f>IF($B255="","",INDEX('Yuri - Book'!$P:$P,$B255))</f>
        <v/>
      </c>
    </row>
    <row r="256">
      <c r="A256" s="11" t="b">
        <v>0</v>
      </c>
      <c r="B256" s="11">
        <f>IFERROR(MATCH(189,'Yuri - Book'!$V$4:$V$203,0)+4-1,"")</f>
        <v/>
      </c>
      <c r="C256" s="11">
        <f>IF($B256="","",INDEX('Yuri - Book'!$A:$A,$B256))</f>
        <v/>
      </c>
      <c r="D256" s="11">
        <f>IF($B256="","",INDEX('Yuri - Book'!$B:$B,$B256))</f>
        <v/>
      </c>
      <c r="E256" s="12">
        <f>IF($B256="","",INDEX('Yuri - Book'!$J:$J,$B256))</f>
        <v/>
      </c>
      <c r="F256" s="11">
        <f>IF($B256="","","Yuri")</f>
        <v/>
      </c>
      <c r="G256" s="11">
        <f>IF($B256="","",INDEX('Yuri - Book'!$C:$C,$B256))</f>
        <v/>
      </c>
      <c r="H256" s="11">
        <f>IF($B256="","",INDEX('Yuri - Book'!$D:$D,$B256))</f>
        <v/>
      </c>
      <c r="I256" s="11">
        <f>IF($B256="","",INDEX('Yuri - Book'!$E:$E,$B256))</f>
        <v/>
      </c>
      <c r="J256" s="11">
        <f>IF($B256="","",INDEX('Yuri - Book'!$F:$F,$B256))</f>
        <v/>
      </c>
      <c r="K256" s="11">
        <f>IF($B256="","",INDEX('Yuri - Book'!$K:$K,$B256))</f>
        <v/>
      </c>
      <c r="L256" s="13">
        <f>IF($B256="","",ROUND(INDEX('Yuri - Book'!$Q:$Q,$B256),0))</f>
        <v/>
      </c>
      <c r="M256" s="11">
        <f>IF($B256="","",INDEX('Yuri - Book'!$P:$P,$B256))</f>
        <v/>
      </c>
    </row>
    <row r="257">
      <c r="A257" s="11" t="b">
        <v>0</v>
      </c>
      <c r="B257" s="11">
        <f>IFERROR(MATCH(190,'Yuri - Book'!$V$4:$V$203,0)+4-1,"")</f>
        <v/>
      </c>
      <c r="C257" s="11">
        <f>IF($B257="","",INDEX('Yuri - Book'!$A:$A,$B257))</f>
        <v/>
      </c>
      <c r="D257" s="11">
        <f>IF($B257="","",INDEX('Yuri - Book'!$B:$B,$B257))</f>
        <v/>
      </c>
      <c r="E257" s="12">
        <f>IF($B257="","",INDEX('Yuri - Book'!$J:$J,$B257))</f>
        <v/>
      </c>
      <c r="F257" s="11">
        <f>IF($B257="","","Yuri")</f>
        <v/>
      </c>
      <c r="G257" s="11">
        <f>IF($B257="","",INDEX('Yuri - Book'!$C:$C,$B257))</f>
        <v/>
      </c>
      <c r="H257" s="11">
        <f>IF($B257="","",INDEX('Yuri - Book'!$D:$D,$B257))</f>
        <v/>
      </c>
      <c r="I257" s="11">
        <f>IF($B257="","",INDEX('Yuri - Book'!$E:$E,$B257))</f>
        <v/>
      </c>
      <c r="J257" s="11">
        <f>IF($B257="","",INDEX('Yuri - Book'!$F:$F,$B257))</f>
        <v/>
      </c>
      <c r="K257" s="11">
        <f>IF($B257="","",INDEX('Yuri - Book'!$K:$K,$B257))</f>
        <v/>
      </c>
      <c r="L257" s="13">
        <f>IF($B257="","",ROUND(INDEX('Yuri - Book'!$Q:$Q,$B257),0))</f>
        <v/>
      </c>
      <c r="M257" s="11">
        <f>IF($B257="","",INDEX('Yuri - Book'!$P:$P,$B257))</f>
        <v/>
      </c>
    </row>
    <row r="258">
      <c r="A258" s="11" t="b">
        <v>0</v>
      </c>
      <c r="B258" s="11">
        <f>IFERROR(MATCH(191,'Yuri - Book'!$V$4:$V$203,0)+4-1,"")</f>
        <v/>
      </c>
      <c r="C258" s="11">
        <f>IF($B258="","",INDEX('Yuri - Book'!$A:$A,$B258))</f>
        <v/>
      </c>
      <c r="D258" s="11">
        <f>IF($B258="","",INDEX('Yuri - Book'!$B:$B,$B258))</f>
        <v/>
      </c>
      <c r="E258" s="12">
        <f>IF($B258="","",INDEX('Yuri - Book'!$J:$J,$B258))</f>
        <v/>
      </c>
      <c r="F258" s="11">
        <f>IF($B258="","","Yuri")</f>
        <v/>
      </c>
      <c r="G258" s="11">
        <f>IF($B258="","",INDEX('Yuri - Book'!$C:$C,$B258))</f>
        <v/>
      </c>
      <c r="H258" s="11">
        <f>IF($B258="","",INDEX('Yuri - Book'!$D:$D,$B258))</f>
        <v/>
      </c>
      <c r="I258" s="11">
        <f>IF($B258="","",INDEX('Yuri - Book'!$E:$E,$B258))</f>
        <v/>
      </c>
      <c r="J258" s="11">
        <f>IF($B258="","",INDEX('Yuri - Book'!$F:$F,$B258))</f>
        <v/>
      </c>
      <c r="K258" s="11">
        <f>IF($B258="","",INDEX('Yuri - Book'!$K:$K,$B258))</f>
        <v/>
      </c>
      <c r="L258" s="13">
        <f>IF($B258="","",ROUND(INDEX('Yuri - Book'!$Q:$Q,$B258),0))</f>
        <v/>
      </c>
      <c r="M258" s="11">
        <f>IF($B258="","",INDEX('Yuri - Book'!$P:$P,$B258))</f>
        <v/>
      </c>
    </row>
    <row r="259">
      <c r="A259" s="11" t="b">
        <v>0</v>
      </c>
      <c r="B259" s="11">
        <f>IFERROR(MATCH(192,'Yuri - Book'!$V$4:$V$203,0)+4-1,"")</f>
        <v/>
      </c>
      <c r="C259" s="11">
        <f>IF($B259="","",INDEX('Yuri - Book'!$A:$A,$B259))</f>
        <v/>
      </c>
      <c r="D259" s="11">
        <f>IF($B259="","",INDEX('Yuri - Book'!$B:$B,$B259))</f>
        <v/>
      </c>
      <c r="E259" s="12">
        <f>IF($B259="","",INDEX('Yuri - Book'!$J:$J,$B259))</f>
        <v/>
      </c>
      <c r="F259" s="11">
        <f>IF($B259="","","Yuri")</f>
        <v/>
      </c>
      <c r="G259" s="11">
        <f>IF($B259="","",INDEX('Yuri - Book'!$C:$C,$B259))</f>
        <v/>
      </c>
      <c r="H259" s="11">
        <f>IF($B259="","",INDEX('Yuri - Book'!$D:$D,$B259))</f>
        <v/>
      </c>
      <c r="I259" s="11">
        <f>IF($B259="","",INDEX('Yuri - Book'!$E:$E,$B259))</f>
        <v/>
      </c>
      <c r="J259" s="11">
        <f>IF($B259="","",INDEX('Yuri - Book'!$F:$F,$B259))</f>
        <v/>
      </c>
      <c r="K259" s="11">
        <f>IF($B259="","",INDEX('Yuri - Book'!$K:$K,$B259))</f>
        <v/>
      </c>
      <c r="L259" s="13">
        <f>IF($B259="","",ROUND(INDEX('Yuri - Book'!$Q:$Q,$B259),0))</f>
        <v/>
      </c>
      <c r="M259" s="11">
        <f>IF($B259="","",INDEX('Yuri - Book'!$P:$P,$B259))</f>
        <v/>
      </c>
    </row>
    <row r="260">
      <c r="A260" s="11" t="b">
        <v>0</v>
      </c>
      <c r="B260" s="11">
        <f>IFERROR(MATCH(193,'Yuri - Book'!$V$4:$V$203,0)+4-1,"")</f>
        <v/>
      </c>
      <c r="C260" s="11">
        <f>IF($B260="","",INDEX('Yuri - Book'!$A:$A,$B260))</f>
        <v/>
      </c>
      <c r="D260" s="11">
        <f>IF($B260="","",INDEX('Yuri - Book'!$B:$B,$B260))</f>
        <v/>
      </c>
      <c r="E260" s="12">
        <f>IF($B260="","",INDEX('Yuri - Book'!$J:$J,$B260))</f>
        <v/>
      </c>
      <c r="F260" s="11">
        <f>IF($B260="","","Yuri")</f>
        <v/>
      </c>
      <c r="G260" s="11">
        <f>IF($B260="","",INDEX('Yuri - Book'!$C:$C,$B260))</f>
        <v/>
      </c>
      <c r="H260" s="11">
        <f>IF($B260="","",INDEX('Yuri - Book'!$D:$D,$B260))</f>
        <v/>
      </c>
      <c r="I260" s="11">
        <f>IF($B260="","",INDEX('Yuri - Book'!$E:$E,$B260))</f>
        <v/>
      </c>
      <c r="J260" s="11">
        <f>IF($B260="","",INDEX('Yuri - Book'!$F:$F,$B260))</f>
        <v/>
      </c>
      <c r="K260" s="11">
        <f>IF($B260="","",INDEX('Yuri - Book'!$K:$K,$B260))</f>
        <v/>
      </c>
      <c r="L260" s="13">
        <f>IF($B260="","",ROUND(INDEX('Yuri - Book'!$Q:$Q,$B260),0))</f>
        <v/>
      </c>
      <c r="M260" s="11">
        <f>IF($B260="","",INDEX('Yuri - Book'!$P:$P,$B260))</f>
        <v/>
      </c>
    </row>
    <row r="261">
      <c r="A261" s="11" t="b">
        <v>0</v>
      </c>
      <c r="B261" s="11">
        <f>IFERROR(MATCH(194,'Yuri - Book'!$V$4:$V$203,0)+4-1,"")</f>
        <v/>
      </c>
      <c r="C261" s="11">
        <f>IF($B261="","",INDEX('Yuri - Book'!$A:$A,$B261))</f>
        <v/>
      </c>
      <c r="D261" s="11">
        <f>IF($B261="","",INDEX('Yuri - Book'!$B:$B,$B261))</f>
        <v/>
      </c>
      <c r="E261" s="12">
        <f>IF($B261="","",INDEX('Yuri - Book'!$J:$J,$B261))</f>
        <v/>
      </c>
      <c r="F261" s="11">
        <f>IF($B261="","","Yuri")</f>
        <v/>
      </c>
      <c r="G261" s="11">
        <f>IF($B261="","",INDEX('Yuri - Book'!$C:$C,$B261))</f>
        <v/>
      </c>
      <c r="H261" s="11">
        <f>IF($B261="","",INDEX('Yuri - Book'!$D:$D,$B261))</f>
        <v/>
      </c>
      <c r="I261" s="11">
        <f>IF($B261="","",INDEX('Yuri - Book'!$E:$E,$B261))</f>
        <v/>
      </c>
      <c r="J261" s="11">
        <f>IF($B261="","",INDEX('Yuri - Book'!$F:$F,$B261))</f>
        <v/>
      </c>
      <c r="K261" s="11">
        <f>IF($B261="","",INDEX('Yuri - Book'!$K:$K,$B261))</f>
        <v/>
      </c>
      <c r="L261" s="13">
        <f>IF($B261="","",ROUND(INDEX('Yuri - Book'!$Q:$Q,$B261),0))</f>
        <v/>
      </c>
      <c r="M261" s="11">
        <f>IF($B261="","",INDEX('Yuri - Book'!$P:$P,$B261))</f>
        <v/>
      </c>
    </row>
    <row r="262">
      <c r="A262" s="11" t="b">
        <v>0</v>
      </c>
      <c r="B262" s="11">
        <f>IFERROR(MATCH(195,'Yuri - Book'!$V$4:$V$203,0)+4-1,"")</f>
        <v/>
      </c>
      <c r="C262" s="11">
        <f>IF($B262="","",INDEX('Yuri - Book'!$A:$A,$B262))</f>
        <v/>
      </c>
      <c r="D262" s="11">
        <f>IF($B262="","",INDEX('Yuri - Book'!$B:$B,$B262))</f>
        <v/>
      </c>
      <c r="E262" s="12">
        <f>IF($B262="","",INDEX('Yuri - Book'!$J:$J,$B262))</f>
        <v/>
      </c>
      <c r="F262" s="11">
        <f>IF($B262="","","Yuri")</f>
        <v/>
      </c>
      <c r="G262" s="11">
        <f>IF($B262="","",INDEX('Yuri - Book'!$C:$C,$B262))</f>
        <v/>
      </c>
      <c r="H262" s="11">
        <f>IF($B262="","",INDEX('Yuri - Book'!$D:$D,$B262))</f>
        <v/>
      </c>
      <c r="I262" s="11">
        <f>IF($B262="","",INDEX('Yuri - Book'!$E:$E,$B262))</f>
        <v/>
      </c>
      <c r="J262" s="11">
        <f>IF($B262="","",INDEX('Yuri - Book'!$F:$F,$B262))</f>
        <v/>
      </c>
      <c r="K262" s="11">
        <f>IF($B262="","",INDEX('Yuri - Book'!$K:$K,$B262))</f>
        <v/>
      </c>
      <c r="L262" s="13">
        <f>IF($B262="","",ROUND(INDEX('Yuri - Book'!$Q:$Q,$B262),0))</f>
        <v/>
      </c>
      <c r="M262" s="11">
        <f>IF($B262="","",INDEX('Yuri - Book'!$P:$P,$B262))</f>
        <v/>
      </c>
    </row>
    <row r="263">
      <c r="A263" s="11" t="b">
        <v>0</v>
      </c>
      <c r="B263" s="11">
        <f>IFERROR(MATCH(196,'Yuri - Book'!$V$4:$V$203,0)+4-1,"")</f>
        <v/>
      </c>
      <c r="C263" s="11">
        <f>IF($B263="","",INDEX('Yuri - Book'!$A:$A,$B263))</f>
        <v/>
      </c>
      <c r="D263" s="11">
        <f>IF($B263="","",INDEX('Yuri - Book'!$B:$B,$B263))</f>
        <v/>
      </c>
      <c r="E263" s="12">
        <f>IF($B263="","",INDEX('Yuri - Book'!$J:$J,$B263))</f>
        <v/>
      </c>
      <c r="F263" s="11">
        <f>IF($B263="","","Yuri")</f>
        <v/>
      </c>
      <c r="G263" s="11">
        <f>IF($B263="","",INDEX('Yuri - Book'!$C:$C,$B263))</f>
        <v/>
      </c>
      <c r="H263" s="11">
        <f>IF($B263="","",INDEX('Yuri - Book'!$D:$D,$B263))</f>
        <v/>
      </c>
      <c r="I263" s="11">
        <f>IF($B263="","",INDEX('Yuri - Book'!$E:$E,$B263))</f>
        <v/>
      </c>
      <c r="J263" s="11">
        <f>IF($B263="","",INDEX('Yuri - Book'!$F:$F,$B263))</f>
        <v/>
      </c>
      <c r="K263" s="11">
        <f>IF($B263="","",INDEX('Yuri - Book'!$K:$K,$B263))</f>
        <v/>
      </c>
      <c r="L263" s="13">
        <f>IF($B263="","",ROUND(INDEX('Yuri - Book'!$Q:$Q,$B263),0))</f>
        <v/>
      </c>
      <c r="M263" s="11">
        <f>IF($B263="","",INDEX('Yuri - Book'!$P:$P,$B263))</f>
        <v/>
      </c>
    </row>
    <row r="264">
      <c r="A264" s="11" t="b">
        <v>0</v>
      </c>
      <c r="B264" s="11">
        <f>IFERROR(MATCH(197,'Yuri - Book'!$V$4:$V$203,0)+4-1,"")</f>
        <v/>
      </c>
      <c r="C264" s="11">
        <f>IF($B264="","",INDEX('Yuri - Book'!$A:$A,$B264))</f>
        <v/>
      </c>
      <c r="D264" s="11">
        <f>IF($B264="","",INDEX('Yuri - Book'!$B:$B,$B264))</f>
        <v/>
      </c>
      <c r="E264" s="12">
        <f>IF($B264="","",INDEX('Yuri - Book'!$J:$J,$B264))</f>
        <v/>
      </c>
      <c r="F264" s="11">
        <f>IF($B264="","","Yuri")</f>
        <v/>
      </c>
      <c r="G264" s="11">
        <f>IF($B264="","",INDEX('Yuri - Book'!$C:$C,$B264))</f>
        <v/>
      </c>
      <c r="H264" s="11">
        <f>IF($B264="","",INDEX('Yuri - Book'!$D:$D,$B264))</f>
        <v/>
      </c>
      <c r="I264" s="11">
        <f>IF($B264="","",INDEX('Yuri - Book'!$E:$E,$B264))</f>
        <v/>
      </c>
      <c r="J264" s="11">
        <f>IF($B264="","",INDEX('Yuri - Book'!$F:$F,$B264))</f>
        <v/>
      </c>
      <c r="K264" s="11">
        <f>IF($B264="","",INDEX('Yuri - Book'!$K:$K,$B264))</f>
        <v/>
      </c>
      <c r="L264" s="13">
        <f>IF($B264="","",ROUND(INDEX('Yuri - Book'!$Q:$Q,$B264),0))</f>
        <v/>
      </c>
      <c r="M264" s="11">
        <f>IF($B264="","",INDEX('Yuri - Book'!$P:$P,$B264))</f>
        <v/>
      </c>
    </row>
    <row r="265">
      <c r="A265" s="11" t="b">
        <v>0</v>
      </c>
      <c r="B265" s="11">
        <f>IFERROR(MATCH(198,'Yuri - Book'!$V$4:$V$203,0)+4-1,"")</f>
        <v/>
      </c>
      <c r="C265" s="11">
        <f>IF($B265="","",INDEX('Yuri - Book'!$A:$A,$B265))</f>
        <v/>
      </c>
      <c r="D265" s="11">
        <f>IF($B265="","",INDEX('Yuri - Book'!$B:$B,$B265))</f>
        <v/>
      </c>
      <c r="E265" s="12">
        <f>IF($B265="","",INDEX('Yuri - Book'!$J:$J,$B265))</f>
        <v/>
      </c>
      <c r="F265" s="11">
        <f>IF($B265="","","Yuri")</f>
        <v/>
      </c>
      <c r="G265" s="11">
        <f>IF($B265="","",INDEX('Yuri - Book'!$C:$C,$B265))</f>
        <v/>
      </c>
      <c r="H265" s="11">
        <f>IF($B265="","",INDEX('Yuri - Book'!$D:$D,$B265))</f>
        <v/>
      </c>
      <c r="I265" s="11">
        <f>IF($B265="","",INDEX('Yuri - Book'!$E:$E,$B265))</f>
        <v/>
      </c>
      <c r="J265" s="11">
        <f>IF($B265="","",INDEX('Yuri - Book'!$F:$F,$B265))</f>
        <v/>
      </c>
      <c r="K265" s="11">
        <f>IF($B265="","",INDEX('Yuri - Book'!$K:$K,$B265))</f>
        <v/>
      </c>
      <c r="L265" s="13">
        <f>IF($B265="","",ROUND(INDEX('Yuri - Book'!$Q:$Q,$B265),0))</f>
        <v/>
      </c>
      <c r="M265" s="11">
        <f>IF($B265="","",INDEX('Yuri - Book'!$P:$P,$B265))</f>
        <v/>
      </c>
    </row>
    <row r="266">
      <c r="A266" s="11" t="b">
        <v>0</v>
      </c>
      <c r="B266" s="11">
        <f>IFERROR(MATCH(199,'Yuri - Book'!$V$4:$V$203,0)+4-1,"")</f>
        <v/>
      </c>
      <c r="C266" s="11">
        <f>IF($B266="","",INDEX('Yuri - Book'!$A:$A,$B266))</f>
        <v/>
      </c>
      <c r="D266" s="11">
        <f>IF($B266="","",INDEX('Yuri - Book'!$B:$B,$B266))</f>
        <v/>
      </c>
      <c r="E266" s="12">
        <f>IF($B266="","",INDEX('Yuri - Book'!$J:$J,$B266))</f>
        <v/>
      </c>
      <c r="F266" s="11">
        <f>IF($B266="","","Yuri")</f>
        <v/>
      </c>
      <c r="G266" s="11">
        <f>IF($B266="","",INDEX('Yuri - Book'!$C:$C,$B266))</f>
        <v/>
      </c>
      <c r="H266" s="11">
        <f>IF($B266="","",INDEX('Yuri - Book'!$D:$D,$B266))</f>
        <v/>
      </c>
      <c r="I266" s="11">
        <f>IF($B266="","",INDEX('Yuri - Book'!$E:$E,$B266))</f>
        <v/>
      </c>
      <c r="J266" s="11">
        <f>IF($B266="","",INDEX('Yuri - Book'!$F:$F,$B266))</f>
        <v/>
      </c>
      <c r="K266" s="11">
        <f>IF($B266="","",INDEX('Yuri - Book'!$K:$K,$B266))</f>
        <v/>
      </c>
      <c r="L266" s="13">
        <f>IF($B266="","",ROUND(INDEX('Yuri - Book'!$Q:$Q,$B266),0))</f>
        <v/>
      </c>
      <c r="M266" s="11">
        <f>IF($B266="","",INDEX('Yuri - Book'!$P:$P,$B266))</f>
        <v/>
      </c>
    </row>
    <row r="267">
      <c r="A267" s="11" t="b">
        <v>0</v>
      </c>
      <c r="B267" s="11">
        <f>IFERROR(MATCH(200,'Yuri - Book'!$V$4:$V$203,0)+4-1,"")</f>
        <v/>
      </c>
      <c r="C267" s="11">
        <f>IF($B267="","",INDEX('Yuri - Book'!$A:$A,$B267))</f>
        <v/>
      </c>
      <c r="D267" s="11">
        <f>IF($B267="","",INDEX('Yuri - Book'!$B:$B,$B267))</f>
        <v/>
      </c>
      <c r="E267" s="12">
        <f>IF($B267="","",INDEX('Yuri - Book'!$J:$J,$B267))</f>
        <v/>
      </c>
      <c r="F267" s="11">
        <f>IF($B267="","","Yuri")</f>
        <v/>
      </c>
      <c r="G267" s="11">
        <f>IF($B267="","",INDEX('Yuri - Book'!$C:$C,$B267))</f>
        <v/>
      </c>
      <c r="H267" s="11">
        <f>IF($B267="","",INDEX('Yuri - Book'!$D:$D,$B267))</f>
        <v/>
      </c>
      <c r="I267" s="11">
        <f>IF($B267="","",INDEX('Yuri - Book'!$E:$E,$B267))</f>
        <v/>
      </c>
      <c r="J267" s="11">
        <f>IF($B267="","",INDEX('Yuri - Book'!$F:$F,$B267))</f>
        <v/>
      </c>
      <c r="K267" s="11">
        <f>IF($B267="","",INDEX('Yuri - Book'!$K:$K,$B267))</f>
        <v/>
      </c>
      <c r="L267" s="13">
        <f>IF($B267="","",ROUND(INDEX('Yuri - Book'!$Q:$Q,$B267),0))</f>
        <v/>
      </c>
      <c r="M267" s="11">
        <f>IF($B267="","",INDEX('Yuri - Book'!$P:$P,$B267))</f>
        <v/>
      </c>
    </row>
    <row r="269">
      <c r="A269" s="6" t="inlineStr">
        <is>
          <t>Coming Up (next 7 days) - not due yet, just a preview. Nothing to action here.</t>
        </is>
      </c>
    </row>
    <row r="270" ht="32" customHeight="1">
      <c r="A270" s="7" t="inlineStr"/>
      <c r="B270" s="7" t="inlineStr">
        <is>
          <t>Match Row</t>
        </is>
      </c>
      <c r="C270" s="7" t="inlineStr">
        <is>
          <t>Player ID</t>
        </is>
      </c>
      <c r="D270" s="7" t="inlineStr">
        <is>
          <t>Player Name</t>
        </is>
      </c>
      <c r="E270" s="7" t="inlineStr">
        <is>
          <t>Due Date</t>
        </is>
      </c>
      <c r="F270" s="7" t="inlineStr">
        <is>
          <t>Owner</t>
        </is>
      </c>
      <c r="G270" s="7" t="inlineStr">
        <is>
          <t>Source</t>
        </is>
      </c>
      <c r="H270" s="7" t="inlineStr">
        <is>
          <t>Roobet Username</t>
        </is>
      </c>
      <c r="I270" s="7" t="inlineStr">
        <is>
          <t>Status
(pick to update)</t>
        </is>
      </c>
      <c r="J270" s="7" t="inlineStr">
        <is>
          <t>Health</t>
        </is>
      </c>
      <c r="K270" s="7" t="inlineStr">
        <is>
          <t>Required Action</t>
        </is>
      </c>
      <c r="L270" s="7" t="inlineStr">
        <is>
          <t>Days Until
Due</t>
        </is>
      </c>
      <c r="M270" s="7" t="inlineStr">
        <is>
          <t>Notes</t>
        </is>
      </c>
    </row>
    <row r="271">
      <c r="B271" s="11">
        <f>IFERROR(MATCH(1,'Yuri - Book'!$Z$4:$Z$203,0)+4-1,"")</f>
        <v/>
      </c>
      <c r="C271" s="11">
        <f>IF($B271="","",INDEX('Yuri - Book'!$A:$A,$B271))</f>
        <v/>
      </c>
      <c r="D271" s="11">
        <f>IF($B271="","",INDEX('Yuri - Book'!$B:$B,$B271))</f>
        <v/>
      </c>
      <c r="E271" s="12">
        <f>IF($B271="","",INDEX('Yuri - Book'!$J:$J,$B271))</f>
        <v/>
      </c>
      <c r="F271" s="11">
        <f>IF($B271="","","Yuri")</f>
        <v/>
      </c>
      <c r="G271" s="11">
        <f>IF($B271="","",INDEX('Yuri - Book'!$C:$C,$B271))</f>
        <v/>
      </c>
      <c r="H271" s="11">
        <f>IF($B271="","",INDEX('Yuri - Book'!$D:$D,$B271))</f>
        <v/>
      </c>
      <c r="I271" s="11">
        <f>IF($B271="","",INDEX('Yuri - Book'!$E:$E,$B271))</f>
        <v/>
      </c>
      <c r="J271" s="11">
        <f>IF($B271="","",INDEX('Yuri - Book'!$F:$F,$B271))</f>
        <v/>
      </c>
      <c r="K271" s="11">
        <f>IF($B271="","",INDEX('Yuri - Book'!$K:$K,$B271))</f>
        <v/>
      </c>
      <c r="L271" s="13">
        <f>IF($B271="","",ROUND(INDEX('Yuri - Book'!$J:$J,$B271)-TODAY(),0))</f>
        <v/>
      </c>
      <c r="M271" s="11">
        <f>IF($B271="","",INDEX('Yuri - Book'!$P:$P,$B271))</f>
        <v/>
      </c>
    </row>
    <row r="272">
      <c r="B272" s="11">
        <f>IFERROR(MATCH(2,'Yuri - Book'!$Z$4:$Z$203,0)+4-1,"")</f>
        <v/>
      </c>
      <c r="C272" s="11">
        <f>IF($B272="","",INDEX('Yuri - Book'!$A:$A,$B272))</f>
        <v/>
      </c>
      <c r="D272" s="11">
        <f>IF($B272="","",INDEX('Yuri - Book'!$B:$B,$B272))</f>
        <v/>
      </c>
      <c r="E272" s="12">
        <f>IF($B272="","",INDEX('Yuri - Book'!$J:$J,$B272))</f>
        <v/>
      </c>
      <c r="F272" s="11">
        <f>IF($B272="","","Yuri")</f>
        <v/>
      </c>
      <c r="G272" s="11">
        <f>IF($B272="","",INDEX('Yuri - Book'!$C:$C,$B272))</f>
        <v/>
      </c>
      <c r="H272" s="11">
        <f>IF($B272="","",INDEX('Yuri - Book'!$D:$D,$B272))</f>
        <v/>
      </c>
      <c r="I272" s="11">
        <f>IF($B272="","",INDEX('Yuri - Book'!$E:$E,$B272))</f>
        <v/>
      </c>
      <c r="J272" s="11">
        <f>IF($B272="","",INDEX('Yuri - Book'!$F:$F,$B272))</f>
        <v/>
      </c>
      <c r="K272" s="11">
        <f>IF($B272="","",INDEX('Yuri - Book'!$K:$K,$B272))</f>
        <v/>
      </c>
      <c r="L272" s="13">
        <f>IF($B272="","",ROUND(INDEX('Yuri - Book'!$J:$J,$B272)-TODAY(),0))</f>
        <v/>
      </c>
      <c r="M272" s="11">
        <f>IF($B272="","",INDEX('Yuri - Book'!$P:$P,$B272))</f>
        <v/>
      </c>
    </row>
    <row r="273">
      <c r="B273" s="11">
        <f>IFERROR(MATCH(3,'Yuri - Book'!$Z$4:$Z$203,0)+4-1,"")</f>
        <v/>
      </c>
      <c r="C273" s="11">
        <f>IF($B273="","",INDEX('Yuri - Book'!$A:$A,$B273))</f>
        <v/>
      </c>
      <c r="D273" s="11">
        <f>IF($B273="","",INDEX('Yuri - Book'!$B:$B,$B273))</f>
        <v/>
      </c>
      <c r="E273" s="12">
        <f>IF($B273="","",INDEX('Yuri - Book'!$J:$J,$B273))</f>
        <v/>
      </c>
      <c r="F273" s="11">
        <f>IF($B273="","","Yuri")</f>
        <v/>
      </c>
      <c r="G273" s="11">
        <f>IF($B273="","",INDEX('Yuri - Book'!$C:$C,$B273))</f>
        <v/>
      </c>
      <c r="H273" s="11">
        <f>IF($B273="","",INDEX('Yuri - Book'!$D:$D,$B273))</f>
        <v/>
      </c>
      <c r="I273" s="11">
        <f>IF($B273="","",INDEX('Yuri - Book'!$E:$E,$B273))</f>
        <v/>
      </c>
      <c r="J273" s="11">
        <f>IF($B273="","",INDEX('Yuri - Book'!$F:$F,$B273))</f>
        <v/>
      </c>
      <c r="K273" s="11">
        <f>IF($B273="","",INDEX('Yuri - Book'!$K:$K,$B273))</f>
        <v/>
      </c>
      <c r="L273" s="13">
        <f>IF($B273="","",ROUND(INDEX('Yuri - Book'!$J:$J,$B273)-TODAY(),0))</f>
        <v/>
      </c>
      <c r="M273" s="11">
        <f>IF($B273="","",INDEX('Yuri - Book'!$P:$P,$B273))</f>
        <v/>
      </c>
    </row>
    <row r="274">
      <c r="B274" s="11">
        <f>IFERROR(MATCH(4,'Yuri - Book'!$Z$4:$Z$203,0)+4-1,"")</f>
        <v/>
      </c>
      <c r="C274" s="11">
        <f>IF($B274="","",INDEX('Yuri - Book'!$A:$A,$B274))</f>
        <v/>
      </c>
      <c r="D274" s="11">
        <f>IF($B274="","",INDEX('Yuri - Book'!$B:$B,$B274))</f>
        <v/>
      </c>
      <c r="E274" s="12">
        <f>IF($B274="","",INDEX('Yuri - Book'!$J:$J,$B274))</f>
        <v/>
      </c>
      <c r="F274" s="11">
        <f>IF($B274="","","Yuri")</f>
        <v/>
      </c>
      <c r="G274" s="11">
        <f>IF($B274="","",INDEX('Yuri - Book'!$C:$C,$B274))</f>
        <v/>
      </c>
      <c r="H274" s="11">
        <f>IF($B274="","",INDEX('Yuri - Book'!$D:$D,$B274))</f>
        <v/>
      </c>
      <c r="I274" s="11">
        <f>IF($B274="","",INDEX('Yuri - Book'!$E:$E,$B274))</f>
        <v/>
      </c>
      <c r="J274" s="11">
        <f>IF($B274="","",INDEX('Yuri - Book'!$F:$F,$B274))</f>
        <v/>
      </c>
      <c r="K274" s="11">
        <f>IF($B274="","",INDEX('Yuri - Book'!$K:$K,$B274))</f>
        <v/>
      </c>
      <c r="L274" s="13">
        <f>IF($B274="","",ROUND(INDEX('Yuri - Book'!$J:$J,$B274)-TODAY(),0))</f>
        <v/>
      </c>
      <c r="M274" s="11">
        <f>IF($B274="","",INDEX('Yuri - Book'!$P:$P,$B274))</f>
        <v/>
      </c>
    </row>
    <row r="275">
      <c r="B275" s="11">
        <f>IFERROR(MATCH(5,'Yuri - Book'!$Z$4:$Z$203,0)+4-1,"")</f>
        <v/>
      </c>
      <c r="C275" s="11">
        <f>IF($B275="","",INDEX('Yuri - Book'!$A:$A,$B275))</f>
        <v/>
      </c>
      <c r="D275" s="11">
        <f>IF($B275="","",INDEX('Yuri - Book'!$B:$B,$B275))</f>
        <v/>
      </c>
      <c r="E275" s="12">
        <f>IF($B275="","",INDEX('Yuri - Book'!$J:$J,$B275))</f>
        <v/>
      </c>
      <c r="F275" s="11">
        <f>IF($B275="","","Yuri")</f>
        <v/>
      </c>
      <c r="G275" s="11">
        <f>IF($B275="","",INDEX('Yuri - Book'!$C:$C,$B275))</f>
        <v/>
      </c>
      <c r="H275" s="11">
        <f>IF($B275="","",INDEX('Yuri - Book'!$D:$D,$B275))</f>
        <v/>
      </c>
      <c r="I275" s="11">
        <f>IF($B275="","",INDEX('Yuri - Book'!$E:$E,$B275))</f>
        <v/>
      </c>
      <c r="J275" s="11">
        <f>IF($B275="","",INDEX('Yuri - Book'!$F:$F,$B275))</f>
        <v/>
      </c>
      <c r="K275" s="11">
        <f>IF($B275="","",INDEX('Yuri - Book'!$K:$K,$B275))</f>
        <v/>
      </c>
      <c r="L275" s="13">
        <f>IF($B275="","",ROUND(INDEX('Yuri - Book'!$J:$J,$B275)-TODAY(),0))</f>
        <v/>
      </c>
      <c r="M275" s="11">
        <f>IF($B275="","",INDEX('Yuri - Book'!$P:$P,$B275))</f>
        <v/>
      </c>
    </row>
    <row r="276">
      <c r="B276" s="11">
        <f>IFERROR(MATCH(6,'Yuri - Book'!$Z$4:$Z$203,0)+4-1,"")</f>
        <v/>
      </c>
      <c r="C276" s="11">
        <f>IF($B276="","",INDEX('Yuri - Book'!$A:$A,$B276))</f>
        <v/>
      </c>
      <c r="D276" s="11">
        <f>IF($B276="","",INDEX('Yuri - Book'!$B:$B,$B276))</f>
        <v/>
      </c>
      <c r="E276" s="12">
        <f>IF($B276="","",INDEX('Yuri - Book'!$J:$J,$B276))</f>
        <v/>
      </c>
      <c r="F276" s="11">
        <f>IF($B276="","","Yuri")</f>
        <v/>
      </c>
      <c r="G276" s="11">
        <f>IF($B276="","",INDEX('Yuri - Book'!$C:$C,$B276))</f>
        <v/>
      </c>
      <c r="H276" s="11">
        <f>IF($B276="","",INDEX('Yuri - Book'!$D:$D,$B276))</f>
        <v/>
      </c>
      <c r="I276" s="11">
        <f>IF($B276="","",INDEX('Yuri - Book'!$E:$E,$B276))</f>
        <v/>
      </c>
      <c r="J276" s="11">
        <f>IF($B276="","",INDEX('Yuri - Book'!$F:$F,$B276))</f>
        <v/>
      </c>
      <c r="K276" s="11">
        <f>IF($B276="","",INDEX('Yuri - Book'!$K:$K,$B276))</f>
        <v/>
      </c>
      <c r="L276" s="13">
        <f>IF($B276="","",ROUND(INDEX('Yuri - Book'!$J:$J,$B276)-TODAY(),0))</f>
        <v/>
      </c>
      <c r="M276" s="11">
        <f>IF($B276="","",INDEX('Yuri - Book'!$P:$P,$B276))</f>
        <v/>
      </c>
    </row>
    <row r="277">
      <c r="B277" s="11">
        <f>IFERROR(MATCH(7,'Yuri - Book'!$Z$4:$Z$203,0)+4-1,"")</f>
        <v/>
      </c>
      <c r="C277" s="11">
        <f>IF($B277="","",INDEX('Yuri - Book'!$A:$A,$B277))</f>
        <v/>
      </c>
      <c r="D277" s="11">
        <f>IF($B277="","",INDEX('Yuri - Book'!$B:$B,$B277))</f>
        <v/>
      </c>
      <c r="E277" s="12">
        <f>IF($B277="","",INDEX('Yuri - Book'!$J:$J,$B277))</f>
        <v/>
      </c>
      <c r="F277" s="11">
        <f>IF($B277="","","Yuri")</f>
        <v/>
      </c>
      <c r="G277" s="11">
        <f>IF($B277="","",INDEX('Yuri - Book'!$C:$C,$B277))</f>
        <v/>
      </c>
      <c r="H277" s="11">
        <f>IF($B277="","",INDEX('Yuri - Book'!$D:$D,$B277))</f>
        <v/>
      </c>
      <c r="I277" s="11">
        <f>IF($B277="","",INDEX('Yuri - Book'!$E:$E,$B277))</f>
        <v/>
      </c>
      <c r="J277" s="11">
        <f>IF($B277="","",INDEX('Yuri - Book'!$F:$F,$B277))</f>
        <v/>
      </c>
      <c r="K277" s="11">
        <f>IF($B277="","",INDEX('Yuri - Book'!$K:$K,$B277))</f>
        <v/>
      </c>
      <c r="L277" s="13">
        <f>IF($B277="","",ROUND(INDEX('Yuri - Book'!$J:$J,$B277)-TODAY(),0))</f>
        <v/>
      </c>
      <c r="M277" s="11">
        <f>IF($B277="","",INDEX('Yuri - Book'!$P:$P,$B277))</f>
        <v/>
      </c>
    </row>
    <row r="278">
      <c r="B278" s="11">
        <f>IFERROR(MATCH(8,'Yuri - Book'!$Z$4:$Z$203,0)+4-1,"")</f>
        <v/>
      </c>
      <c r="C278" s="11">
        <f>IF($B278="","",INDEX('Yuri - Book'!$A:$A,$B278))</f>
        <v/>
      </c>
      <c r="D278" s="11">
        <f>IF($B278="","",INDEX('Yuri - Book'!$B:$B,$B278))</f>
        <v/>
      </c>
      <c r="E278" s="12">
        <f>IF($B278="","",INDEX('Yuri - Book'!$J:$J,$B278))</f>
        <v/>
      </c>
      <c r="F278" s="11">
        <f>IF($B278="","","Yuri")</f>
        <v/>
      </c>
      <c r="G278" s="11">
        <f>IF($B278="","",INDEX('Yuri - Book'!$C:$C,$B278))</f>
        <v/>
      </c>
      <c r="H278" s="11">
        <f>IF($B278="","",INDEX('Yuri - Book'!$D:$D,$B278))</f>
        <v/>
      </c>
      <c r="I278" s="11">
        <f>IF($B278="","",INDEX('Yuri - Book'!$E:$E,$B278))</f>
        <v/>
      </c>
      <c r="J278" s="11">
        <f>IF($B278="","",INDEX('Yuri - Book'!$F:$F,$B278))</f>
        <v/>
      </c>
      <c r="K278" s="11">
        <f>IF($B278="","",INDEX('Yuri - Book'!$K:$K,$B278))</f>
        <v/>
      </c>
      <c r="L278" s="13">
        <f>IF($B278="","",ROUND(INDEX('Yuri - Book'!$J:$J,$B278)-TODAY(),0))</f>
        <v/>
      </c>
      <c r="M278" s="11">
        <f>IF($B278="","",INDEX('Yuri - Book'!$P:$P,$B278))</f>
        <v/>
      </c>
    </row>
    <row r="279">
      <c r="B279" s="11">
        <f>IFERROR(MATCH(9,'Yuri - Book'!$Z$4:$Z$203,0)+4-1,"")</f>
        <v/>
      </c>
      <c r="C279" s="11">
        <f>IF($B279="","",INDEX('Yuri - Book'!$A:$A,$B279))</f>
        <v/>
      </c>
      <c r="D279" s="11">
        <f>IF($B279="","",INDEX('Yuri - Book'!$B:$B,$B279))</f>
        <v/>
      </c>
      <c r="E279" s="12">
        <f>IF($B279="","",INDEX('Yuri - Book'!$J:$J,$B279))</f>
        <v/>
      </c>
      <c r="F279" s="11">
        <f>IF($B279="","","Yuri")</f>
        <v/>
      </c>
      <c r="G279" s="11">
        <f>IF($B279="","",INDEX('Yuri - Book'!$C:$C,$B279))</f>
        <v/>
      </c>
      <c r="H279" s="11">
        <f>IF($B279="","",INDEX('Yuri - Book'!$D:$D,$B279))</f>
        <v/>
      </c>
      <c r="I279" s="11">
        <f>IF($B279="","",INDEX('Yuri - Book'!$E:$E,$B279))</f>
        <v/>
      </c>
      <c r="J279" s="11">
        <f>IF($B279="","",INDEX('Yuri - Book'!$F:$F,$B279))</f>
        <v/>
      </c>
      <c r="K279" s="11">
        <f>IF($B279="","",INDEX('Yuri - Book'!$K:$K,$B279))</f>
        <v/>
      </c>
      <c r="L279" s="13">
        <f>IF($B279="","",ROUND(INDEX('Yuri - Book'!$J:$J,$B279)-TODAY(),0))</f>
        <v/>
      </c>
      <c r="M279" s="11">
        <f>IF($B279="","",INDEX('Yuri - Book'!$P:$P,$B279))</f>
        <v/>
      </c>
    </row>
    <row r="280">
      <c r="B280" s="11">
        <f>IFERROR(MATCH(10,'Yuri - Book'!$Z$4:$Z$203,0)+4-1,"")</f>
        <v/>
      </c>
      <c r="C280" s="11">
        <f>IF($B280="","",INDEX('Yuri - Book'!$A:$A,$B280))</f>
        <v/>
      </c>
      <c r="D280" s="11">
        <f>IF($B280="","",INDEX('Yuri - Book'!$B:$B,$B280))</f>
        <v/>
      </c>
      <c r="E280" s="12">
        <f>IF($B280="","",INDEX('Yuri - Book'!$J:$J,$B280))</f>
        <v/>
      </c>
      <c r="F280" s="11">
        <f>IF($B280="","","Yuri")</f>
        <v/>
      </c>
      <c r="G280" s="11">
        <f>IF($B280="","",INDEX('Yuri - Book'!$C:$C,$B280))</f>
        <v/>
      </c>
      <c r="H280" s="11">
        <f>IF($B280="","",INDEX('Yuri - Book'!$D:$D,$B280))</f>
        <v/>
      </c>
      <c r="I280" s="11">
        <f>IF($B280="","",INDEX('Yuri - Book'!$E:$E,$B280))</f>
        <v/>
      </c>
      <c r="J280" s="11">
        <f>IF($B280="","",INDEX('Yuri - Book'!$F:$F,$B280))</f>
        <v/>
      </c>
      <c r="K280" s="11">
        <f>IF($B280="","",INDEX('Yuri - Book'!$K:$K,$B280))</f>
        <v/>
      </c>
      <c r="L280" s="13">
        <f>IF($B280="","",ROUND(INDEX('Yuri - Book'!$J:$J,$B280)-TODAY(),0))</f>
        <v/>
      </c>
      <c r="M280" s="11">
        <f>IF($B280="","",INDEX('Yuri - Book'!$P:$P,$B280))</f>
        <v/>
      </c>
    </row>
    <row r="281">
      <c r="B281" s="11">
        <f>IFERROR(MATCH(11,'Yuri - Book'!$Z$4:$Z$203,0)+4-1,"")</f>
        <v/>
      </c>
      <c r="C281" s="11">
        <f>IF($B281="","",INDEX('Yuri - Book'!$A:$A,$B281))</f>
        <v/>
      </c>
      <c r="D281" s="11">
        <f>IF($B281="","",INDEX('Yuri - Book'!$B:$B,$B281))</f>
        <v/>
      </c>
      <c r="E281" s="12">
        <f>IF($B281="","",INDEX('Yuri - Book'!$J:$J,$B281))</f>
        <v/>
      </c>
      <c r="F281" s="11">
        <f>IF($B281="","","Yuri")</f>
        <v/>
      </c>
      <c r="G281" s="11">
        <f>IF($B281="","",INDEX('Yuri - Book'!$C:$C,$B281))</f>
        <v/>
      </c>
      <c r="H281" s="11">
        <f>IF($B281="","",INDEX('Yuri - Book'!$D:$D,$B281))</f>
        <v/>
      </c>
      <c r="I281" s="11">
        <f>IF($B281="","",INDEX('Yuri - Book'!$E:$E,$B281))</f>
        <v/>
      </c>
      <c r="J281" s="11">
        <f>IF($B281="","",INDEX('Yuri - Book'!$F:$F,$B281))</f>
        <v/>
      </c>
      <c r="K281" s="11">
        <f>IF($B281="","",INDEX('Yuri - Book'!$K:$K,$B281))</f>
        <v/>
      </c>
      <c r="L281" s="13">
        <f>IF($B281="","",ROUND(INDEX('Yuri - Book'!$J:$J,$B281)-TODAY(),0))</f>
        <v/>
      </c>
      <c r="M281" s="11">
        <f>IF($B281="","",INDEX('Yuri - Book'!$P:$P,$B281))</f>
        <v/>
      </c>
    </row>
    <row r="282">
      <c r="B282" s="11">
        <f>IFERROR(MATCH(12,'Yuri - Book'!$Z$4:$Z$203,0)+4-1,"")</f>
        <v/>
      </c>
      <c r="C282" s="11">
        <f>IF($B282="","",INDEX('Yuri - Book'!$A:$A,$B282))</f>
        <v/>
      </c>
      <c r="D282" s="11">
        <f>IF($B282="","",INDEX('Yuri - Book'!$B:$B,$B282))</f>
        <v/>
      </c>
      <c r="E282" s="12">
        <f>IF($B282="","",INDEX('Yuri - Book'!$J:$J,$B282))</f>
        <v/>
      </c>
      <c r="F282" s="11">
        <f>IF($B282="","","Yuri")</f>
        <v/>
      </c>
      <c r="G282" s="11">
        <f>IF($B282="","",INDEX('Yuri - Book'!$C:$C,$B282))</f>
        <v/>
      </c>
      <c r="H282" s="11">
        <f>IF($B282="","",INDEX('Yuri - Book'!$D:$D,$B282))</f>
        <v/>
      </c>
      <c r="I282" s="11">
        <f>IF($B282="","",INDEX('Yuri - Book'!$E:$E,$B282))</f>
        <v/>
      </c>
      <c r="J282" s="11">
        <f>IF($B282="","",INDEX('Yuri - Book'!$F:$F,$B282))</f>
        <v/>
      </c>
      <c r="K282" s="11">
        <f>IF($B282="","",INDEX('Yuri - Book'!$K:$K,$B282))</f>
        <v/>
      </c>
      <c r="L282" s="13">
        <f>IF($B282="","",ROUND(INDEX('Yuri - Book'!$J:$J,$B282)-TODAY(),0))</f>
        <v/>
      </c>
      <c r="M282" s="11">
        <f>IF($B282="","",INDEX('Yuri - Book'!$P:$P,$B282))</f>
        <v/>
      </c>
    </row>
    <row r="283">
      <c r="B283" s="11">
        <f>IFERROR(MATCH(13,'Yuri - Book'!$Z$4:$Z$203,0)+4-1,"")</f>
        <v/>
      </c>
      <c r="C283" s="11">
        <f>IF($B283="","",INDEX('Yuri - Book'!$A:$A,$B283))</f>
        <v/>
      </c>
      <c r="D283" s="11">
        <f>IF($B283="","",INDEX('Yuri - Book'!$B:$B,$B283))</f>
        <v/>
      </c>
      <c r="E283" s="12">
        <f>IF($B283="","",INDEX('Yuri - Book'!$J:$J,$B283))</f>
        <v/>
      </c>
      <c r="F283" s="11">
        <f>IF($B283="","","Yuri")</f>
        <v/>
      </c>
      <c r="G283" s="11">
        <f>IF($B283="","",INDEX('Yuri - Book'!$C:$C,$B283))</f>
        <v/>
      </c>
      <c r="H283" s="11">
        <f>IF($B283="","",INDEX('Yuri - Book'!$D:$D,$B283))</f>
        <v/>
      </c>
      <c r="I283" s="11">
        <f>IF($B283="","",INDEX('Yuri - Book'!$E:$E,$B283))</f>
        <v/>
      </c>
      <c r="J283" s="11">
        <f>IF($B283="","",INDEX('Yuri - Book'!$F:$F,$B283))</f>
        <v/>
      </c>
      <c r="K283" s="11">
        <f>IF($B283="","",INDEX('Yuri - Book'!$K:$K,$B283))</f>
        <v/>
      </c>
      <c r="L283" s="13">
        <f>IF($B283="","",ROUND(INDEX('Yuri - Book'!$J:$J,$B283)-TODAY(),0))</f>
        <v/>
      </c>
      <c r="M283" s="11">
        <f>IF($B283="","",INDEX('Yuri - Book'!$P:$P,$B283))</f>
        <v/>
      </c>
    </row>
    <row r="284">
      <c r="B284" s="11">
        <f>IFERROR(MATCH(14,'Yuri - Book'!$Z$4:$Z$203,0)+4-1,"")</f>
        <v/>
      </c>
      <c r="C284" s="11">
        <f>IF($B284="","",INDEX('Yuri - Book'!$A:$A,$B284))</f>
        <v/>
      </c>
      <c r="D284" s="11">
        <f>IF($B284="","",INDEX('Yuri - Book'!$B:$B,$B284))</f>
        <v/>
      </c>
      <c r="E284" s="12">
        <f>IF($B284="","",INDEX('Yuri - Book'!$J:$J,$B284))</f>
        <v/>
      </c>
      <c r="F284" s="11">
        <f>IF($B284="","","Yuri")</f>
        <v/>
      </c>
      <c r="G284" s="11">
        <f>IF($B284="","",INDEX('Yuri - Book'!$C:$C,$B284))</f>
        <v/>
      </c>
      <c r="H284" s="11">
        <f>IF($B284="","",INDEX('Yuri - Book'!$D:$D,$B284))</f>
        <v/>
      </c>
      <c r="I284" s="11">
        <f>IF($B284="","",INDEX('Yuri - Book'!$E:$E,$B284))</f>
        <v/>
      </c>
      <c r="J284" s="11">
        <f>IF($B284="","",INDEX('Yuri - Book'!$F:$F,$B284))</f>
        <v/>
      </c>
      <c r="K284" s="11">
        <f>IF($B284="","",INDEX('Yuri - Book'!$K:$K,$B284))</f>
        <v/>
      </c>
      <c r="L284" s="13">
        <f>IF($B284="","",ROUND(INDEX('Yuri - Book'!$J:$J,$B284)-TODAY(),0))</f>
        <v/>
      </c>
      <c r="M284" s="11">
        <f>IF($B284="","",INDEX('Yuri - Book'!$P:$P,$B284))</f>
        <v/>
      </c>
    </row>
    <row r="285">
      <c r="B285" s="11">
        <f>IFERROR(MATCH(15,'Yuri - Book'!$Z$4:$Z$203,0)+4-1,"")</f>
        <v/>
      </c>
      <c r="C285" s="11">
        <f>IF($B285="","",INDEX('Yuri - Book'!$A:$A,$B285))</f>
        <v/>
      </c>
      <c r="D285" s="11">
        <f>IF($B285="","",INDEX('Yuri - Book'!$B:$B,$B285))</f>
        <v/>
      </c>
      <c r="E285" s="12">
        <f>IF($B285="","",INDEX('Yuri - Book'!$J:$J,$B285))</f>
        <v/>
      </c>
      <c r="F285" s="11">
        <f>IF($B285="","","Yuri")</f>
        <v/>
      </c>
      <c r="G285" s="11">
        <f>IF($B285="","",INDEX('Yuri - Book'!$C:$C,$B285))</f>
        <v/>
      </c>
      <c r="H285" s="11">
        <f>IF($B285="","",INDEX('Yuri - Book'!$D:$D,$B285))</f>
        <v/>
      </c>
      <c r="I285" s="11">
        <f>IF($B285="","",INDEX('Yuri - Book'!$E:$E,$B285))</f>
        <v/>
      </c>
      <c r="J285" s="11">
        <f>IF($B285="","",INDEX('Yuri - Book'!$F:$F,$B285))</f>
        <v/>
      </c>
      <c r="K285" s="11">
        <f>IF($B285="","",INDEX('Yuri - Book'!$K:$K,$B285))</f>
        <v/>
      </c>
      <c r="L285" s="13">
        <f>IF($B285="","",ROUND(INDEX('Yuri - Book'!$J:$J,$B285)-TODAY(),0))</f>
        <v/>
      </c>
      <c r="M285" s="11">
        <f>IF($B285="","",INDEX('Yuri - Book'!$P:$P,$B285))</f>
        <v/>
      </c>
    </row>
    <row r="286">
      <c r="B286" s="11">
        <f>IFERROR(MATCH(16,'Yuri - Book'!$Z$4:$Z$203,0)+4-1,"")</f>
        <v/>
      </c>
      <c r="C286" s="11">
        <f>IF($B286="","",INDEX('Yuri - Book'!$A:$A,$B286))</f>
        <v/>
      </c>
      <c r="D286" s="11">
        <f>IF($B286="","",INDEX('Yuri - Book'!$B:$B,$B286))</f>
        <v/>
      </c>
      <c r="E286" s="12">
        <f>IF($B286="","",INDEX('Yuri - Book'!$J:$J,$B286))</f>
        <v/>
      </c>
      <c r="F286" s="11">
        <f>IF($B286="","","Yuri")</f>
        <v/>
      </c>
      <c r="G286" s="11">
        <f>IF($B286="","",INDEX('Yuri - Book'!$C:$C,$B286))</f>
        <v/>
      </c>
      <c r="H286" s="11">
        <f>IF($B286="","",INDEX('Yuri - Book'!$D:$D,$B286))</f>
        <v/>
      </c>
      <c r="I286" s="11">
        <f>IF($B286="","",INDEX('Yuri - Book'!$E:$E,$B286))</f>
        <v/>
      </c>
      <c r="J286" s="11">
        <f>IF($B286="","",INDEX('Yuri - Book'!$F:$F,$B286))</f>
        <v/>
      </c>
      <c r="K286" s="11">
        <f>IF($B286="","",INDEX('Yuri - Book'!$K:$K,$B286))</f>
        <v/>
      </c>
      <c r="L286" s="13">
        <f>IF($B286="","",ROUND(INDEX('Yuri - Book'!$J:$J,$B286)-TODAY(),0))</f>
        <v/>
      </c>
      <c r="M286" s="11">
        <f>IF($B286="","",INDEX('Yuri - Book'!$P:$P,$B286))</f>
        <v/>
      </c>
    </row>
    <row r="287">
      <c r="B287" s="11">
        <f>IFERROR(MATCH(17,'Yuri - Book'!$Z$4:$Z$203,0)+4-1,"")</f>
        <v/>
      </c>
      <c r="C287" s="11">
        <f>IF($B287="","",INDEX('Yuri - Book'!$A:$A,$B287))</f>
        <v/>
      </c>
      <c r="D287" s="11">
        <f>IF($B287="","",INDEX('Yuri - Book'!$B:$B,$B287))</f>
        <v/>
      </c>
      <c r="E287" s="12">
        <f>IF($B287="","",INDEX('Yuri - Book'!$J:$J,$B287))</f>
        <v/>
      </c>
      <c r="F287" s="11">
        <f>IF($B287="","","Yuri")</f>
        <v/>
      </c>
      <c r="G287" s="11">
        <f>IF($B287="","",INDEX('Yuri - Book'!$C:$C,$B287))</f>
        <v/>
      </c>
      <c r="H287" s="11">
        <f>IF($B287="","",INDEX('Yuri - Book'!$D:$D,$B287))</f>
        <v/>
      </c>
      <c r="I287" s="11">
        <f>IF($B287="","",INDEX('Yuri - Book'!$E:$E,$B287))</f>
        <v/>
      </c>
      <c r="J287" s="11">
        <f>IF($B287="","",INDEX('Yuri - Book'!$F:$F,$B287))</f>
        <v/>
      </c>
      <c r="K287" s="11">
        <f>IF($B287="","",INDEX('Yuri - Book'!$K:$K,$B287))</f>
        <v/>
      </c>
      <c r="L287" s="13">
        <f>IF($B287="","",ROUND(INDEX('Yuri - Book'!$J:$J,$B287)-TODAY(),0))</f>
        <v/>
      </c>
      <c r="M287" s="11">
        <f>IF($B287="","",INDEX('Yuri - Book'!$P:$P,$B287))</f>
        <v/>
      </c>
    </row>
    <row r="288">
      <c r="B288" s="11">
        <f>IFERROR(MATCH(18,'Yuri - Book'!$Z$4:$Z$203,0)+4-1,"")</f>
        <v/>
      </c>
      <c r="C288" s="11">
        <f>IF($B288="","",INDEX('Yuri - Book'!$A:$A,$B288))</f>
        <v/>
      </c>
      <c r="D288" s="11">
        <f>IF($B288="","",INDEX('Yuri - Book'!$B:$B,$B288))</f>
        <v/>
      </c>
      <c r="E288" s="12">
        <f>IF($B288="","",INDEX('Yuri - Book'!$J:$J,$B288))</f>
        <v/>
      </c>
      <c r="F288" s="11">
        <f>IF($B288="","","Yuri")</f>
        <v/>
      </c>
      <c r="G288" s="11">
        <f>IF($B288="","",INDEX('Yuri - Book'!$C:$C,$B288))</f>
        <v/>
      </c>
      <c r="H288" s="11">
        <f>IF($B288="","",INDEX('Yuri - Book'!$D:$D,$B288))</f>
        <v/>
      </c>
      <c r="I288" s="11">
        <f>IF($B288="","",INDEX('Yuri - Book'!$E:$E,$B288))</f>
        <v/>
      </c>
      <c r="J288" s="11">
        <f>IF($B288="","",INDEX('Yuri - Book'!$F:$F,$B288))</f>
        <v/>
      </c>
      <c r="K288" s="11">
        <f>IF($B288="","",INDEX('Yuri - Book'!$K:$K,$B288))</f>
        <v/>
      </c>
      <c r="L288" s="13">
        <f>IF($B288="","",ROUND(INDEX('Yuri - Book'!$J:$J,$B288)-TODAY(),0))</f>
        <v/>
      </c>
      <c r="M288" s="11">
        <f>IF($B288="","",INDEX('Yuri - Book'!$P:$P,$B288))</f>
        <v/>
      </c>
    </row>
    <row r="289">
      <c r="B289" s="11">
        <f>IFERROR(MATCH(19,'Yuri - Book'!$Z$4:$Z$203,0)+4-1,"")</f>
        <v/>
      </c>
      <c r="C289" s="11">
        <f>IF($B289="","",INDEX('Yuri - Book'!$A:$A,$B289))</f>
        <v/>
      </c>
      <c r="D289" s="11">
        <f>IF($B289="","",INDEX('Yuri - Book'!$B:$B,$B289))</f>
        <v/>
      </c>
      <c r="E289" s="12">
        <f>IF($B289="","",INDEX('Yuri - Book'!$J:$J,$B289))</f>
        <v/>
      </c>
      <c r="F289" s="11">
        <f>IF($B289="","","Yuri")</f>
        <v/>
      </c>
      <c r="G289" s="11">
        <f>IF($B289="","",INDEX('Yuri - Book'!$C:$C,$B289))</f>
        <v/>
      </c>
      <c r="H289" s="11">
        <f>IF($B289="","",INDEX('Yuri - Book'!$D:$D,$B289))</f>
        <v/>
      </c>
      <c r="I289" s="11">
        <f>IF($B289="","",INDEX('Yuri - Book'!$E:$E,$B289))</f>
        <v/>
      </c>
      <c r="J289" s="11">
        <f>IF($B289="","",INDEX('Yuri - Book'!$F:$F,$B289))</f>
        <v/>
      </c>
      <c r="K289" s="11">
        <f>IF($B289="","",INDEX('Yuri - Book'!$K:$K,$B289))</f>
        <v/>
      </c>
      <c r="L289" s="13">
        <f>IF($B289="","",ROUND(INDEX('Yuri - Book'!$J:$J,$B289)-TODAY(),0))</f>
        <v/>
      </c>
      <c r="M289" s="11">
        <f>IF($B289="","",INDEX('Yuri - Book'!$P:$P,$B289))</f>
        <v/>
      </c>
    </row>
    <row r="290">
      <c r="B290" s="11">
        <f>IFERROR(MATCH(20,'Yuri - Book'!$Z$4:$Z$203,0)+4-1,"")</f>
        <v/>
      </c>
      <c r="C290" s="11">
        <f>IF($B290="","",INDEX('Yuri - Book'!$A:$A,$B290))</f>
        <v/>
      </c>
      <c r="D290" s="11">
        <f>IF($B290="","",INDEX('Yuri - Book'!$B:$B,$B290))</f>
        <v/>
      </c>
      <c r="E290" s="12">
        <f>IF($B290="","",INDEX('Yuri - Book'!$J:$J,$B290))</f>
        <v/>
      </c>
      <c r="F290" s="11">
        <f>IF($B290="","","Yuri")</f>
        <v/>
      </c>
      <c r="G290" s="11">
        <f>IF($B290="","",INDEX('Yuri - Book'!$C:$C,$B290))</f>
        <v/>
      </c>
      <c r="H290" s="11">
        <f>IF($B290="","",INDEX('Yuri - Book'!$D:$D,$B290))</f>
        <v/>
      </c>
      <c r="I290" s="11">
        <f>IF($B290="","",INDEX('Yuri - Book'!$E:$E,$B290))</f>
        <v/>
      </c>
      <c r="J290" s="11">
        <f>IF($B290="","",INDEX('Yuri - Book'!$F:$F,$B290))</f>
        <v/>
      </c>
      <c r="K290" s="11">
        <f>IF($B290="","",INDEX('Yuri - Book'!$K:$K,$B290))</f>
        <v/>
      </c>
      <c r="L290" s="13">
        <f>IF($B290="","",ROUND(INDEX('Yuri - Book'!$J:$J,$B290)-TODAY(),0))</f>
        <v/>
      </c>
      <c r="M290" s="11">
        <f>IF($B290="","",INDEX('Yuri - Book'!$P:$P,$B290))</f>
        <v/>
      </c>
    </row>
    <row r="291">
      <c r="B291" s="11">
        <f>IFERROR(MATCH(21,'Yuri - Book'!$Z$4:$Z$203,0)+4-1,"")</f>
        <v/>
      </c>
      <c r="C291" s="11">
        <f>IF($B291="","",INDEX('Yuri - Book'!$A:$A,$B291))</f>
        <v/>
      </c>
      <c r="D291" s="11">
        <f>IF($B291="","",INDEX('Yuri - Book'!$B:$B,$B291))</f>
        <v/>
      </c>
      <c r="E291" s="12">
        <f>IF($B291="","",INDEX('Yuri - Book'!$J:$J,$B291))</f>
        <v/>
      </c>
      <c r="F291" s="11">
        <f>IF($B291="","","Yuri")</f>
        <v/>
      </c>
      <c r="G291" s="11">
        <f>IF($B291="","",INDEX('Yuri - Book'!$C:$C,$B291))</f>
        <v/>
      </c>
      <c r="H291" s="11">
        <f>IF($B291="","",INDEX('Yuri - Book'!$D:$D,$B291))</f>
        <v/>
      </c>
      <c r="I291" s="11">
        <f>IF($B291="","",INDEX('Yuri - Book'!$E:$E,$B291))</f>
        <v/>
      </c>
      <c r="J291" s="11">
        <f>IF($B291="","",INDEX('Yuri - Book'!$F:$F,$B291))</f>
        <v/>
      </c>
      <c r="K291" s="11">
        <f>IF($B291="","",INDEX('Yuri - Book'!$K:$K,$B291))</f>
        <v/>
      </c>
      <c r="L291" s="13">
        <f>IF($B291="","",ROUND(INDEX('Yuri - Book'!$J:$J,$B291)-TODAY(),0))</f>
        <v/>
      </c>
      <c r="M291" s="11">
        <f>IF($B291="","",INDEX('Yuri - Book'!$P:$P,$B291))</f>
        <v/>
      </c>
    </row>
    <row r="292">
      <c r="B292" s="11">
        <f>IFERROR(MATCH(22,'Yuri - Book'!$Z$4:$Z$203,0)+4-1,"")</f>
        <v/>
      </c>
      <c r="C292" s="11">
        <f>IF($B292="","",INDEX('Yuri - Book'!$A:$A,$B292))</f>
        <v/>
      </c>
      <c r="D292" s="11">
        <f>IF($B292="","",INDEX('Yuri - Book'!$B:$B,$B292))</f>
        <v/>
      </c>
      <c r="E292" s="12">
        <f>IF($B292="","",INDEX('Yuri - Book'!$J:$J,$B292))</f>
        <v/>
      </c>
      <c r="F292" s="11">
        <f>IF($B292="","","Yuri")</f>
        <v/>
      </c>
      <c r="G292" s="11">
        <f>IF($B292="","",INDEX('Yuri - Book'!$C:$C,$B292))</f>
        <v/>
      </c>
      <c r="H292" s="11">
        <f>IF($B292="","",INDEX('Yuri - Book'!$D:$D,$B292))</f>
        <v/>
      </c>
      <c r="I292" s="11">
        <f>IF($B292="","",INDEX('Yuri - Book'!$E:$E,$B292))</f>
        <v/>
      </c>
      <c r="J292" s="11">
        <f>IF($B292="","",INDEX('Yuri - Book'!$F:$F,$B292))</f>
        <v/>
      </c>
      <c r="K292" s="11">
        <f>IF($B292="","",INDEX('Yuri - Book'!$K:$K,$B292))</f>
        <v/>
      </c>
      <c r="L292" s="13">
        <f>IF($B292="","",ROUND(INDEX('Yuri - Book'!$J:$J,$B292)-TODAY(),0))</f>
        <v/>
      </c>
      <c r="M292" s="11">
        <f>IF($B292="","",INDEX('Yuri - Book'!$P:$P,$B292))</f>
        <v/>
      </c>
    </row>
    <row r="293">
      <c r="B293" s="11">
        <f>IFERROR(MATCH(23,'Yuri - Book'!$Z$4:$Z$203,0)+4-1,"")</f>
        <v/>
      </c>
      <c r="C293" s="11">
        <f>IF($B293="","",INDEX('Yuri - Book'!$A:$A,$B293))</f>
        <v/>
      </c>
      <c r="D293" s="11">
        <f>IF($B293="","",INDEX('Yuri - Book'!$B:$B,$B293))</f>
        <v/>
      </c>
      <c r="E293" s="12">
        <f>IF($B293="","",INDEX('Yuri - Book'!$J:$J,$B293))</f>
        <v/>
      </c>
      <c r="F293" s="11">
        <f>IF($B293="","","Yuri")</f>
        <v/>
      </c>
      <c r="G293" s="11">
        <f>IF($B293="","",INDEX('Yuri - Book'!$C:$C,$B293))</f>
        <v/>
      </c>
      <c r="H293" s="11">
        <f>IF($B293="","",INDEX('Yuri - Book'!$D:$D,$B293))</f>
        <v/>
      </c>
      <c r="I293" s="11">
        <f>IF($B293="","",INDEX('Yuri - Book'!$E:$E,$B293))</f>
        <v/>
      </c>
      <c r="J293" s="11">
        <f>IF($B293="","",INDEX('Yuri - Book'!$F:$F,$B293))</f>
        <v/>
      </c>
      <c r="K293" s="11">
        <f>IF($B293="","",INDEX('Yuri - Book'!$K:$K,$B293))</f>
        <v/>
      </c>
      <c r="L293" s="13">
        <f>IF($B293="","",ROUND(INDEX('Yuri - Book'!$J:$J,$B293)-TODAY(),0))</f>
        <v/>
      </c>
      <c r="M293" s="11">
        <f>IF($B293="","",INDEX('Yuri - Book'!$P:$P,$B293))</f>
        <v/>
      </c>
    </row>
    <row r="294">
      <c r="B294" s="11">
        <f>IFERROR(MATCH(24,'Yuri - Book'!$Z$4:$Z$203,0)+4-1,"")</f>
        <v/>
      </c>
      <c r="C294" s="11">
        <f>IF($B294="","",INDEX('Yuri - Book'!$A:$A,$B294))</f>
        <v/>
      </c>
      <c r="D294" s="11">
        <f>IF($B294="","",INDEX('Yuri - Book'!$B:$B,$B294))</f>
        <v/>
      </c>
      <c r="E294" s="12">
        <f>IF($B294="","",INDEX('Yuri - Book'!$J:$J,$B294))</f>
        <v/>
      </c>
      <c r="F294" s="11">
        <f>IF($B294="","","Yuri")</f>
        <v/>
      </c>
      <c r="G294" s="11">
        <f>IF($B294="","",INDEX('Yuri - Book'!$C:$C,$B294))</f>
        <v/>
      </c>
      <c r="H294" s="11">
        <f>IF($B294="","",INDEX('Yuri - Book'!$D:$D,$B294))</f>
        <v/>
      </c>
      <c r="I294" s="11">
        <f>IF($B294="","",INDEX('Yuri - Book'!$E:$E,$B294))</f>
        <v/>
      </c>
      <c r="J294" s="11">
        <f>IF($B294="","",INDEX('Yuri - Book'!$F:$F,$B294))</f>
        <v/>
      </c>
      <c r="K294" s="11">
        <f>IF($B294="","",INDEX('Yuri - Book'!$K:$K,$B294))</f>
        <v/>
      </c>
      <c r="L294" s="13">
        <f>IF($B294="","",ROUND(INDEX('Yuri - Book'!$J:$J,$B294)-TODAY(),0))</f>
        <v/>
      </c>
      <c r="M294" s="11">
        <f>IF($B294="","",INDEX('Yuri - Book'!$P:$P,$B294))</f>
        <v/>
      </c>
    </row>
    <row r="295">
      <c r="B295" s="11">
        <f>IFERROR(MATCH(25,'Yuri - Book'!$Z$4:$Z$203,0)+4-1,"")</f>
        <v/>
      </c>
      <c r="C295" s="11">
        <f>IF($B295="","",INDEX('Yuri - Book'!$A:$A,$B295))</f>
        <v/>
      </c>
      <c r="D295" s="11">
        <f>IF($B295="","",INDEX('Yuri - Book'!$B:$B,$B295))</f>
        <v/>
      </c>
      <c r="E295" s="12">
        <f>IF($B295="","",INDEX('Yuri - Book'!$J:$J,$B295))</f>
        <v/>
      </c>
      <c r="F295" s="11">
        <f>IF($B295="","","Yuri")</f>
        <v/>
      </c>
      <c r="G295" s="11">
        <f>IF($B295="","",INDEX('Yuri - Book'!$C:$C,$B295))</f>
        <v/>
      </c>
      <c r="H295" s="11">
        <f>IF($B295="","",INDEX('Yuri - Book'!$D:$D,$B295))</f>
        <v/>
      </c>
      <c r="I295" s="11">
        <f>IF($B295="","",INDEX('Yuri - Book'!$E:$E,$B295))</f>
        <v/>
      </c>
      <c r="J295" s="11">
        <f>IF($B295="","",INDEX('Yuri - Book'!$F:$F,$B295))</f>
        <v/>
      </c>
      <c r="K295" s="11">
        <f>IF($B295="","",INDEX('Yuri - Book'!$K:$K,$B295))</f>
        <v/>
      </c>
      <c r="L295" s="13">
        <f>IF($B295="","",ROUND(INDEX('Yuri - Book'!$J:$J,$B295)-TODAY(),0))</f>
        <v/>
      </c>
      <c r="M295" s="11">
        <f>IF($B295="","",INDEX('Yuri - Book'!$P:$P,$B295))</f>
        <v/>
      </c>
    </row>
    <row r="296">
      <c r="B296" s="11">
        <f>IFERROR(MATCH(26,'Yuri - Book'!$Z$4:$Z$203,0)+4-1,"")</f>
        <v/>
      </c>
      <c r="C296" s="11">
        <f>IF($B296="","",INDEX('Yuri - Book'!$A:$A,$B296))</f>
        <v/>
      </c>
      <c r="D296" s="11">
        <f>IF($B296="","",INDEX('Yuri - Book'!$B:$B,$B296))</f>
        <v/>
      </c>
      <c r="E296" s="12">
        <f>IF($B296="","",INDEX('Yuri - Book'!$J:$J,$B296))</f>
        <v/>
      </c>
      <c r="F296" s="11">
        <f>IF($B296="","","Yuri")</f>
        <v/>
      </c>
      <c r="G296" s="11">
        <f>IF($B296="","",INDEX('Yuri - Book'!$C:$C,$B296))</f>
        <v/>
      </c>
      <c r="H296" s="11">
        <f>IF($B296="","",INDEX('Yuri - Book'!$D:$D,$B296))</f>
        <v/>
      </c>
      <c r="I296" s="11">
        <f>IF($B296="","",INDEX('Yuri - Book'!$E:$E,$B296))</f>
        <v/>
      </c>
      <c r="J296" s="11">
        <f>IF($B296="","",INDEX('Yuri - Book'!$F:$F,$B296))</f>
        <v/>
      </c>
      <c r="K296" s="11">
        <f>IF($B296="","",INDEX('Yuri - Book'!$K:$K,$B296))</f>
        <v/>
      </c>
      <c r="L296" s="13">
        <f>IF($B296="","",ROUND(INDEX('Yuri - Book'!$J:$J,$B296)-TODAY(),0))</f>
        <v/>
      </c>
      <c r="M296" s="11">
        <f>IF($B296="","",INDEX('Yuri - Book'!$P:$P,$B296))</f>
        <v/>
      </c>
    </row>
    <row r="297">
      <c r="B297" s="11">
        <f>IFERROR(MATCH(27,'Yuri - Book'!$Z$4:$Z$203,0)+4-1,"")</f>
        <v/>
      </c>
      <c r="C297" s="11">
        <f>IF($B297="","",INDEX('Yuri - Book'!$A:$A,$B297))</f>
        <v/>
      </c>
      <c r="D297" s="11">
        <f>IF($B297="","",INDEX('Yuri - Book'!$B:$B,$B297))</f>
        <v/>
      </c>
      <c r="E297" s="12">
        <f>IF($B297="","",INDEX('Yuri - Book'!$J:$J,$B297))</f>
        <v/>
      </c>
      <c r="F297" s="11">
        <f>IF($B297="","","Yuri")</f>
        <v/>
      </c>
      <c r="G297" s="11">
        <f>IF($B297="","",INDEX('Yuri - Book'!$C:$C,$B297))</f>
        <v/>
      </c>
      <c r="H297" s="11">
        <f>IF($B297="","",INDEX('Yuri - Book'!$D:$D,$B297))</f>
        <v/>
      </c>
      <c r="I297" s="11">
        <f>IF($B297="","",INDEX('Yuri - Book'!$E:$E,$B297))</f>
        <v/>
      </c>
      <c r="J297" s="11">
        <f>IF($B297="","",INDEX('Yuri - Book'!$F:$F,$B297))</f>
        <v/>
      </c>
      <c r="K297" s="11">
        <f>IF($B297="","",INDEX('Yuri - Book'!$K:$K,$B297))</f>
        <v/>
      </c>
      <c r="L297" s="13">
        <f>IF($B297="","",ROUND(INDEX('Yuri - Book'!$J:$J,$B297)-TODAY(),0))</f>
        <v/>
      </c>
      <c r="M297" s="11">
        <f>IF($B297="","",INDEX('Yuri - Book'!$P:$P,$B297))</f>
        <v/>
      </c>
    </row>
    <row r="298">
      <c r="B298" s="11">
        <f>IFERROR(MATCH(28,'Yuri - Book'!$Z$4:$Z$203,0)+4-1,"")</f>
        <v/>
      </c>
      <c r="C298" s="11">
        <f>IF($B298="","",INDEX('Yuri - Book'!$A:$A,$B298))</f>
        <v/>
      </c>
      <c r="D298" s="11">
        <f>IF($B298="","",INDEX('Yuri - Book'!$B:$B,$B298))</f>
        <v/>
      </c>
      <c r="E298" s="12">
        <f>IF($B298="","",INDEX('Yuri - Book'!$J:$J,$B298))</f>
        <v/>
      </c>
      <c r="F298" s="11">
        <f>IF($B298="","","Yuri")</f>
        <v/>
      </c>
      <c r="G298" s="11">
        <f>IF($B298="","",INDEX('Yuri - Book'!$C:$C,$B298))</f>
        <v/>
      </c>
      <c r="H298" s="11">
        <f>IF($B298="","",INDEX('Yuri - Book'!$D:$D,$B298))</f>
        <v/>
      </c>
      <c r="I298" s="11">
        <f>IF($B298="","",INDEX('Yuri - Book'!$E:$E,$B298))</f>
        <v/>
      </c>
      <c r="J298" s="11">
        <f>IF($B298="","",INDEX('Yuri - Book'!$F:$F,$B298))</f>
        <v/>
      </c>
      <c r="K298" s="11">
        <f>IF($B298="","",INDEX('Yuri - Book'!$K:$K,$B298))</f>
        <v/>
      </c>
      <c r="L298" s="13">
        <f>IF($B298="","",ROUND(INDEX('Yuri - Book'!$J:$J,$B298)-TODAY(),0))</f>
        <v/>
      </c>
      <c r="M298" s="11">
        <f>IF($B298="","",INDEX('Yuri - Book'!$P:$P,$B298))</f>
        <v/>
      </c>
    </row>
    <row r="299">
      <c r="B299" s="11">
        <f>IFERROR(MATCH(29,'Yuri - Book'!$Z$4:$Z$203,0)+4-1,"")</f>
        <v/>
      </c>
      <c r="C299" s="11">
        <f>IF($B299="","",INDEX('Yuri - Book'!$A:$A,$B299))</f>
        <v/>
      </c>
      <c r="D299" s="11">
        <f>IF($B299="","",INDEX('Yuri - Book'!$B:$B,$B299))</f>
        <v/>
      </c>
      <c r="E299" s="12">
        <f>IF($B299="","",INDEX('Yuri - Book'!$J:$J,$B299))</f>
        <v/>
      </c>
      <c r="F299" s="11">
        <f>IF($B299="","","Yuri")</f>
        <v/>
      </c>
      <c r="G299" s="11">
        <f>IF($B299="","",INDEX('Yuri - Book'!$C:$C,$B299))</f>
        <v/>
      </c>
      <c r="H299" s="11">
        <f>IF($B299="","",INDEX('Yuri - Book'!$D:$D,$B299))</f>
        <v/>
      </c>
      <c r="I299" s="11">
        <f>IF($B299="","",INDEX('Yuri - Book'!$E:$E,$B299))</f>
        <v/>
      </c>
      <c r="J299" s="11">
        <f>IF($B299="","",INDEX('Yuri - Book'!$F:$F,$B299))</f>
        <v/>
      </c>
      <c r="K299" s="11">
        <f>IF($B299="","",INDEX('Yuri - Book'!$K:$K,$B299))</f>
        <v/>
      </c>
      <c r="L299" s="13">
        <f>IF($B299="","",ROUND(INDEX('Yuri - Book'!$J:$J,$B299)-TODAY(),0))</f>
        <v/>
      </c>
      <c r="M299" s="11">
        <f>IF($B299="","",INDEX('Yuri - Book'!$P:$P,$B299))</f>
        <v/>
      </c>
    </row>
    <row r="300">
      <c r="B300" s="11">
        <f>IFERROR(MATCH(30,'Yuri - Book'!$Z$4:$Z$203,0)+4-1,"")</f>
        <v/>
      </c>
      <c r="C300" s="11">
        <f>IF($B300="","",INDEX('Yuri - Book'!$A:$A,$B300))</f>
        <v/>
      </c>
      <c r="D300" s="11">
        <f>IF($B300="","",INDEX('Yuri - Book'!$B:$B,$B300))</f>
        <v/>
      </c>
      <c r="E300" s="12">
        <f>IF($B300="","",INDEX('Yuri - Book'!$J:$J,$B300))</f>
        <v/>
      </c>
      <c r="F300" s="11">
        <f>IF($B300="","","Yuri")</f>
        <v/>
      </c>
      <c r="G300" s="11">
        <f>IF($B300="","",INDEX('Yuri - Book'!$C:$C,$B300))</f>
        <v/>
      </c>
      <c r="H300" s="11">
        <f>IF($B300="","",INDEX('Yuri - Book'!$D:$D,$B300))</f>
        <v/>
      </c>
      <c r="I300" s="11">
        <f>IF($B300="","",INDEX('Yuri - Book'!$E:$E,$B300))</f>
        <v/>
      </c>
      <c r="J300" s="11">
        <f>IF($B300="","",INDEX('Yuri - Book'!$F:$F,$B300))</f>
        <v/>
      </c>
      <c r="K300" s="11">
        <f>IF($B300="","",INDEX('Yuri - Book'!$K:$K,$B300))</f>
        <v/>
      </c>
      <c r="L300" s="13">
        <f>IF($B300="","",ROUND(INDEX('Yuri - Book'!$J:$J,$B300)-TODAY(),0))</f>
        <v/>
      </c>
      <c r="M300" s="11">
        <f>IF($B300="","",INDEX('Yuri - Book'!$P:$P,$B300))</f>
        <v/>
      </c>
    </row>
  </sheetData>
  <conditionalFormatting sqref="J5:J64">
    <cfRule type="expression" priority="1" dxfId="0">
      <formula>$J5="Red"</formula>
    </cfRule>
    <cfRule type="expression" priority="2" dxfId="1">
      <formula>$J5="Yellow"</formula>
    </cfRule>
  </conditionalFormatting>
  <conditionalFormatting sqref="A5:M64">
    <cfRule type="expression" priority="3" dxfId="0">
      <formula>AND($E5&lt;&gt;"",$E5&lt;TODAY())</formula>
    </cfRule>
  </conditionalFormatting>
  <conditionalFormatting sqref="J68:J267">
    <cfRule type="expression" priority="4" dxfId="2">
      <formula>$J68="Black"</formula>
    </cfRule>
  </conditionalFormatting>
  <conditionalFormatting sqref="A68:M267">
    <cfRule type="expression" priority="5" dxfId="0">
      <formula>AND($E68&lt;&gt;"",$E68&lt;TODAY())</formula>
    </cfRule>
  </conditionalFormatting>
  <dataValidations count="2">
    <dataValidation sqref="A5:A64 A68:A267" showDropDown="0" showInputMessage="0" showErrorMessage="0" allowBlank="1" type="list">
      <formula1>"TRUE,FALSE"</formula1>
    </dataValidation>
    <dataValidation sqref="I5:I64 I68:I267" showDropDown="0" showInputMessage="0" showErrorMessage="0" allowBlank="1" type="list">
      <formula1>Lists!$C$2:$C$20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06"/>
  <sheetViews>
    <sheetView showGridLines="0" workbookViewId="0">
      <pane xSplit="2" ySplit="3" topLeftCell="C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6" customWidth="1" min="4" max="4"/>
    <col width="16" customWidth="1" min="5" max="5"/>
    <col width="11" customWidth="1" min="6" max="6"/>
    <col width="9" customWidth="1" min="7" max="7"/>
    <col width="11" customWidth="1" min="8" max="8"/>
    <col width="12" customWidth="1" min="9" max="9"/>
    <col width="13" customWidth="1" min="10" max="10"/>
    <col width="34" customWidth="1" min="11" max="11"/>
    <col hidden="1" outlineLevel="1" width="12" customWidth="1" min="12" max="12"/>
    <col hidden="1" outlineLevel="1" width="12" customWidth="1" min="13" max="13"/>
    <col hidden="1" outlineLevel="1" width="11" customWidth="1" min="14" max="14"/>
    <col width="9" customWidth="1" min="15" max="15"/>
    <col hidden="1" outlineLevel="1" width="26" customWidth="1" min="16" max="16"/>
    <col hidden="1" width="13" customWidth="1" min="17" max="17"/>
    <col hidden="1" width="13" customWidth="1" min="18" max="18"/>
    <col hidden="1" width="13" customWidth="1" min="19" max="19"/>
    <col width="12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width="12" customWidth="1" min="27" max="27"/>
    <col width="9" customWidth="1" min="28" max="28"/>
    <col width="18" customWidth="1" min="29" max="29"/>
    <col hidden="1" width="13" customWidth="1" min="30" max="30"/>
    <col hidden="1" width="13" customWidth="1" min="31" max="31"/>
    <col width="13" customWidth="1" min="32" max="32"/>
  </cols>
  <sheetData>
    <row r="1">
      <c r="A1" s="1" t="inlineStr">
        <is>
          <t>Yuri's Book — Player Database</t>
        </is>
      </c>
    </row>
    <row r="3" ht="36" customHeight="1">
      <c r="A3" s="7" t="inlineStr">
        <is>
          <t>Player ID</t>
        </is>
      </c>
      <c r="B3" s="7" t="inlineStr">
        <is>
          <t>Player Name / Handle</t>
        </is>
      </c>
      <c r="C3" s="7" t="inlineStr">
        <is>
          <t>Source</t>
        </is>
      </c>
      <c r="D3" s="7" t="inlineStr">
        <is>
          <t>Roobet Username</t>
        </is>
      </c>
      <c r="E3" s="7" t="inlineStr">
        <is>
          <t>Status</t>
        </is>
      </c>
      <c r="F3" s="7" t="inlineStr">
        <is>
          <t>Health</t>
        </is>
      </c>
      <c r="G3" s="7" t="inlineStr">
        <is>
          <t>Priority
(1=Urgent)</t>
        </is>
      </c>
      <c r="H3" s="7" t="inlineStr">
        <is>
          <t>Date
Assigned</t>
        </is>
      </c>
      <c r="I3" s="7" t="inlineStr">
        <is>
          <t>Last Contact
Date</t>
        </is>
      </c>
      <c r="J3" s="7" t="inlineStr">
        <is>
          <t>Next Follow-Up
Due</t>
        </is>
      </c>
      <c r="K3" s="7" t="inlineStr">
        <is>
          <t>Next Action</t>
        </is>
      </c>
      <c r="L3" s="7" t="inlineStr">
        <is>
          <t>KYC Status</t>
        </is>
      </c>
      <c r="M3" s="7" t="inlineStr">
        <is>
          <t>Deposit Status</t>
        </is>
      </c>
      <c r="N3" s="7" t="inlineStr">
        <is>
          <t>Weighted
Wager</t>
        </is>
      </c>
      <c r="O3" s="7" t="inlineStr">
        <is>
          <t>VIP Ready</t>
        </is>
      </c>
      <c r="P3" s="7" t="inlineStr">
        <is>
          <t>Notes</t>
        </is>
      </c>
      <c r="Q3" s="7" t="inlineStr">
        <is>
          <t>DaysSinceContact</t>
        </is>
      </c>
      <c r="R3" s="7" t="inlineStr">
        <is>
          <t>DueFlag</t>
        </is>
      </c>
      <c r="S3" s="7" t="inlineStr">
        <is>
          <t>DueRank</t>
        </is>
      </c>
      <c r="T3" s="7" t="inlineStr">
        <is>
          <t>Follow-Up
Attempts</t>
        </is>
      </c>
      <c r="U3" s="7" t="inlineStr">
        <is>
          <t>ReactivationFlag</t>
        </is>
      </c>
      <c r="V3" s="7" t="inlineStr">
        <is>
          <t>ReactivationRank</t>
        </is>
      </c>
      <c r="W3" s="7" t="inlineStr">
        <is>
          <t>VIPTeamCheckinDate</t>
        </is>
      </c>
      <c r="X3" s="7" t="inlineStr">
        <is>
          <t>VIPTeamCheckinCount</t>
        </is>
      </c>
      <c r="Y3" s="7" t="inlineStr">
        <is>
          <t>UpcomingFlag</t>
        </is>
      </c>
      <c r="Z3" s="7" t="inlineStr">
        <is>
          <t>UpcomingRank</t>
        </is>
      </c>
      <c r="AA3" s="7" t="inlineStr">
        <is>
          <t>VIP Transferred
Date</t>
        </is>
      </c>
      <c r="AB3" s="7" t="inlineStr">
        <is>
          <t>VIP Transferred
Attempts</t>
        </is>
      </c>
      <c r="AC3" s="7" t="inlineStr">
        <is>
          <t>Transferred to
VIP Team</t>
        </is>
      </c>
      <c r="AD3" s="7" t="inlineStr">
        <is>
          <t>StatusNextFollowUp</t>
        </is>
      </c>
      <c r="AE3" s="7" t="inlineStr">
        <is>
          <t>VIPTeamNextFollowUp</t>
        </is>
      </c>
      <c r="AF3" s="7" t="inlineStr">
        <is>
          <t>FTD Date</t>
        </is>
      </c>
    </row>
    <row r="4">
      <c r="A4" s="11">
        <f>IF($B4="","","YU-"&amp;TEXT(ROW()-3,"0000"))</f>
        <v/>
      </c>
      <c r="B4" s="11" t="n"/>
      <c r="C4" s="11" t="inlineStr">
        <is>
          <t>Discord</t>
        </is>
      </c>
      <c r="D4" s="11" t="n"/>
      <c r="E4" s="11" t="n"/>
      <c r="F4" s="11">
        <f>IF($E4="","",IF($E4="Dead Lead","Black",IF(IF(ISNUMBER($J4),TODAY()-$J4&gt;3,FALSE),"Red",IF($E4="Reactivation Queue","Red",IF(OR($E4="First Deposit",$E4="Active"),"Green","Yellow")))))</f>
        <v/>
      </c>
      <c r="G4" s="11">
        <f>IF($F4="","",IF($F4="Red",1,IF($F4="Yellow",2,IF($F4="Green",3,4))))</f>
        <v/>
      </c>
      <c r="H4" s="14" t="n"/>
      <c r="I4" s="14" t="n"/>
      <c r="J4" s="12">
        <f>IF($E4="","",IF(AND(ISNUMBER($AD4),ISNUMBER($AE4)),MIN($AD4,$AE4),IF(ISNUMBER($AE4),$AE4,$AD4)))</f>
        <v/>
      </c>
      <c r="K4" s="11">
        <f>IF($E4="","",IF($E4="VIP Transferred",IF(N($AB4)&gt;=3,"Should be Dead Lead (3 attempts, still no deposit) - will auto-update","Day "&amp;CHOOSE(N($AB4)+1,1,2,3)&amp;" URGENT VIP check-in - help them finish KYC and lock in first deposit"),IF(AND($D4="",$E4&lt;&gt;"Dead Lead"),IF(N($T4)&gt;=3,"READY FOR DEAD LEAD (3 attempts, still no sign-up)","GET ROOBET SIGN-UP - "&amp;IFERROR(VLOOKUP($E4,Lists!$C$2:$E$20,2,FALSE),"")),IFERROR(VLOOKUP($E4,Lists!$C$2:$E$20,2,FALSE),""))))&amp;IF($AC4="Yes",IF(N($X4)&gt;=3," | VIP Team checkpoints complete - no more automatic check-ins"," | Day "&amp;CHOOSE(N($X4)+1,1,7,14)&amp;" VIP Team check-in - confirm active/depositing"),"")</f>
        <v/>
      </c>
      <c r="L4" s="11" t="n"/>
      <c r="M4" s="11" t="n"/>
      <c r="N4" s="15" t="n"/>
      <c r="O4" s="11">
        <f>IF($E4="","",IF(AND($E4="Active",$F4="Green"),"Yes","No"))</f>
        <v/>
      </c>
      <c r="P4" s="11" t="n"/>
      <c r="Q4">
        <f>IF($I4="","",ROUND(TODAY()-$I4,0))</f>
        <v/>
      </c>
      <c r="R4">
        <f>IF($B4="",0,IF(OR(AND(ISNUMBER($J4),$J4&lt;=TODAY(),$E4&lt;&gt;"Dead Lead"),AND($D4="",$E4&lt;&gt;"",$E4&lt;&gt;"Dead Lead",OR($I4="",$I4&lt;TODAY()))),1,0))</f>
        <v/>
      </c>
      <c r="S4">
        <f>IF($R4=1,SUMPRODUCT(($R$4:$R$203=1)*(($Q$4:$Q$203&gt;$Q4)+(($Q$4:$Q$203=$Q4)*(ROW($Q$4:$Q$203)&lt;ROW($Q4)))))+1,"")</f>
        <v/>
      </c>
      <c r="T4" s="11">
        <f>IF($B4="","",0)</f>
        <v/>
      </c>
      <c r="U4">
        <f>IF($B4="",0,IF($E4="Dead Lead",1,0))</f>
        <v/>
      </c>
      <c r="V4">
        <f>IF($U4=1,SUMPRODUCT(($U$4:$U$203=1)*(($J$4:$J$203&lt;$J4)+(($J$4:$J$203=$J4)*(ROW($J$4:$J$203)&lt;ROW($J4)))))+1,"")</f>
        <v/>
      </c>
      <c r="W4" s="12">
        <f>IF($B4="","","")</f>
        <v/>
      </c>
      <c r="X4" s="11">
        <f>IF($B4="","",0)</f>
        <v/>
      </c>
      <c r="Y4">
        <f>IF($B4="",0,IF(AND($R4=0,$E4&lt;&gt;"Dead Lead",ISNUMBER($J4),$J4&lt;=TODAY()+7),1,0))</f>
        <v/>
      </c>
      <c r="Z4">
        <f>IF($Y4=1,SUMPRODUCT(($Y$4:$Y$203=1)*(($J$4:$J$203&lt;$J4)+(($J$4:$J$203=$J4)*(ROW($J$4:$J$203)&lt;ROW($J4)))))+1,"")</f>
        <v/>
      </c>
      <c r="AA4" s="12">
        <f>IF($B4="","","")</f>
        <v/>
      </c>
      <c r="AB4" s="11">
        <f>IF($B4="","",0)</f>
        <v/>
      </c>
      <c r="AC4" s="11" t="n"/>
      <c r="AD4">
        <f>IF($E4="","",IF($E4="VIP Transferred",IF($AA4="","",IF(N($AB4)&gt;=3,"N/A - Closed",$AA4+CHOOSE(N($AB4)+1,1,2,3))),IF($I4="","",IF(VLOOKUP($E4,Lists!$C$2:$E$20,3,FALSE)="CLOSED","N/A - Closed",$I4+VLOOKUP($E4,Lists!$C$2:$E$20,3,FALSE)))))</f>
        <v/>
      </c>
      <c r="AE4">
        <f>IF(AND($AC4="Yes",$W4&lt;&gt;"",N($X4)&lt;3),$W4+CHOOSE(N($X4)+1,1,7,14),"")</f>
        <v/>
      </c>
      <c r="AF4" s="12">
        <f>IF($B4="","","")</f>
        <v/>
      </c>
    </row>
    <row r="5">
      <c r="A5" s="11">
        <f>IF($B5="","","YU-"&amp;TEXT(ROW()-3,"0000"))</f>
        <v/>
      </c>
      <c r="B5" s="11" t="n"/>
      <c r="C5" s="11" t="inlineStr">
        <is>
          <t>Discord</t>
        </is>
      </c>
      <c r="D5" s="11" t="n"/>
      <c r="E5" s="11" t="n"/>
      <c r="F5" s="11">
        <f>IF($E5="","",IF($E5="Dead Lead","Black",IF(IF(ISNUMBER($J5),TODAY()-$J5&gt;3,FALSE),"Red",IF($E5="Reactivation Queue","Red",IF(OR($E5="First Deposit",$E5="Active"),"Green","Yellow")))))</f>
        <v/>
      </c>
      <c r="G5" s="11">
        <f>IF($F5="","",IF($F5="Red",1,IF($F5="Yellow",2,IF($F5="Green",3,4))))</f>
        <v/>
      </c>
      <c r="H5" s="14" t="n"/>
      <c r="I5" s="14" t="n"/>
      <c r="J5" s="12">
        <f>IF($E5="","",IF(AND(ISNUMBER($AD5),ISNUMBER($AE5)),MIN($AD5,$AE5),IF(ISNUMBER($AE5),$AE5,$AD5)))</f>
        <v/>
      </c>
      <c r="K5" s="11">
        <f>IF($E5="","",IF($E5="VIP Transferred",IF(N($AB5)&gt;=3,"Should be Dead Lead (3 attempts, still no deposit) - will auto-update","Day "&amp;CHOOSE(N($AB5)+1,1,2,3)&amp;" URGENT VIP check-in - help them finish KYC and lock in first deposit"),IF(AND($D5="",$E5&lt;&gt;"Dead Lead"),IF(N($T5)&gt;=3,"READY FOR DEAD LEAD (3 attempts, still no sign-up)","GET ROOBET SIGN-UP - "&amp;IFERROR(VLOOKUP($E5,Lists!$C$2:$E$20,2,FALSE),"")),IFERROR(VLOOKUP($E5,Lists!$C$2:$E$20,2,FALSE),""))))&amp;IF($AC5="Yes",IF(N($X5)&gt;=3," | VIP Team checkpoints complete - no more automatic check-ins"," | Day "&amp;CHOOSE(N($X5)+1,1,7,14)&amp;" VIP Team check-in - confirm active/depositing"),"")</f>
        <v/>
      </c>
      <c r="L5" s="11" t="n"/>
      <c r="M5" s="11" t="n"/>
      <c r="N5" s="15" t="n"/>
      <c r="O5" s="11">
        <f>IF($E5="","",IF(AND($E5="Active",$F5="Green"),"Yes","No"))</f>
        <v/>
      </c>
      <c r="P5" s="11" t="n"/>
      <c r="Q5">
        <f>IF($I5="","",ROUND(TODAY()-$I5,0))</f>
        <v/>
      </c>
      <c r="R5">
        <f>IF($B5="",0,IF(OR(AND(ISNUMBER($J5),$J5&lt;=TODAY(),$E5&lt;&gt;"Dead Lead"),AND($D5="",$E5&lt;&gt;"",$E5&lt;&gt;"Dead Lead",OR($I5="",$I5&lt;TODAY()))),1,0))</f>
        <v/>
      </c>
      <c r="S5">
        <f>IF($R5=1,SUMPRODUCT(($R$4:$R$203=1)*(($Q$4:$Q$203&gt;$Q5)+(($Q$4:$Q$203=$Q5)*(ROW($Q$4:$Q$203)&lt;ROW($Q5)))))+1,"")</f>
        <v/>
      </c>
      <c r="T5" s="11">
        <f>IF($B5="","",0)</f>
        <v/>
      </c>
      <c r="U5">
        <f>IF($B5="",0,IF($E5="Dead Lead",1,0))</f>
        <v/>
      </c>
      <c r="V5">
        <f>IF($U5=1,SUMPRODUCT(($U$4:$U$203=1)*(($J$4:$J$203&lt;$J5)+(($J$4:$J$203=$J5)*(ROW($J$4:$J$203)&lt;ROW($J5)))))+1,"")</f>
        <v/>
      </c>
      <c r="W5" s="12">
        <f>IF($B5="","","")</f>
        <v/>
      </c>
      <c r="X5" s="11">
        <f>IF($B5="","",0)</f>
        <v/>
      </c>
      <c r="Y5">
        <f>IF($B5="",0,IF(AND($R5=0,$E5&lt;&gt;"Dead Lead",ISNUMBER($J5),$J5&lt;=TODAY()+7),1,0))</f>
        <v/>
      </c>
      <c r="Z5">
        <f>IF($Y5=1,SUMPRODUCT(($Y$4:$Y$203=1)*(($J$4:$J$203&lt;$J5)+(($J$4:$J$203=$J5)*(ROW($J$4:$J$203)&lt;ROW($J5)))))+1,"")</f>
        <v/>
      </c>
      <c r="AA5" s="12">
        <f>IF($B5="","","")</f>
        <v/>
      </c>
      <c r="AB5" s="11">
        <f>IF($B5="","",0)</f>
        <v/>
      </c>
      <c r="AC5" s="11" t="n"/>
      <c r="AD5">
        <f>IF($E5="","",IF($E5="VIP Transferred",IF($AA5="","",IF(N($AB5)&gt;=3,"N/A - Closed",$AA5+CHOOSE(N($AB5)+1,1,2,3))),IF($I5="","",IF(VLOOKUP($E5,Lists!$C$2:$E$20,3,FALSE)="CLOSED","N/A - Closed",$I5+VLOOKUP($E5,Lists!$C$2:$E$20,3,FALSE)))))</f>
        <v/>
      </c>
      <c r="AE5">
        <f>IF(AND($AC5="Yes",$W5&lt;&gt;"",N($X5)&lt;3),$W5+CHOOSE(N($X5)+1,1,7,14),"")</f>
        <v/>
      </c>
      <c r="AF5" s="12">
        <f>IF($B5="","","")</f>
        <v/>
      </c>
    </row>
    <row r="6">
      <c r="A6" s="11">
        <f>IF($B6="","","YU-"&amp;TEXT(ROW()-3,"0000"))</f>
        <v/>
      </c>
      <c r="B6" s="11" t="n"/>
      <c r="C6" s="11" t="inlineStr">
        <is>
          <t>Discord</t>
        </is>
      </c>
      <c r="D6" s="11" t="n"/>
      <c r="E6" s="11" t="n"/>
      <c r="F6" s="11">
        <f>IF($E6="","",IF($E6="Dead Lead","Black",IF(IF(ISNUMBER($J6),TODAY()-$J6&gt;3,FALSE),"Red",IF($E6="Reactivation Queue","Red",IF(OR($E6="First Deposit",$E6="Active"),"Green","Yellow")))))</f>
        <v/>
      </c>
      <c r="G6" s="11">
        <f>IF($F6="","",IF($F6="Red",1,IF($F6="Yellow",2,IF($F6="Green",3,4))))</f>
        <v/>
      </c>
      <c r="H6" s="14" t="n"/>
      <c r="I6" s="14" t="n"/>
      <c r="J6" s="12">
        <f>IF($E6="","",IF(AND(ISNUMBER($AD6),ISNUMBER($AE6)),MIN($AD6,$AE6),IF(ISNUMBER($AE6),$AE6,$AD6)))</f>
        <v/>
      </c>
      <c r="K6" s="11">
        <f>IF($E6="","",IF($E6="VIP Transferred",IF(N($AB6)&gt;=3,"Should be Dead Lead (3 attempts, still no deposit) - will auto-update","Day "&amp;CHOOSE(N($AB6)+1,1,2,3)&amp;" URGENT VIP check-in - help them finish KYC and lock in first deposit"),IF(AND($D6="",$E6&lt;&gt;"Dead Lead"),IF(N($T6)&gt;=3,"READY FOR DEAD LEAD (3 attempts, still no sign-up)","GET ROOBET SIGN-UP - "&amp;IFERROR(VLOOKUP($E6,Lists!$C$2:$E$20,2,FALSE),"")),IFERROR(VLOOKUP($E6,Lists!$C$2:$E$20,2,FALSE),""))))&amp;IF($AC6="Yes",IF(N($X6)&gt;=3," | VIP Team checkpoints complete - no more automatic check-ins"," | Day "&amp;CHOOSE(N($X6)+1,1,7,14)&amp;" VIP Team check-in - confirm active/depositing"),"")</f>
        <v/>
      </c>
      <c r="L6" s="11" t="n"/>
      <c r="M6" s="11" t="n"/>
      <c r="N6" s="15" t="n"/>
      <c r="O6" s="11">
        <f>IF($E6="","",IF(AND($E6="Active",$F6="Green"),"Yes","No"))</f>
        <v/>
      </c>
      <c r="P6" s="11" t="n"/>
      <c r="Q6">
        <f>IF($I6="","",ROUND(TODAY()-$I6,0))</f>
        <v/>
      </c>
      <c r="R6">
        <f>IF($B6="",0,IF(OR(AND(ISNUMBER($J6),$J6&lt;=TODAY(),$E6&lt;&gt;"Dead Lead"),AND($D6="",$E6&lt;&gt;"",$E6&lt;&gt;"Dead Lead",OR($I6="",$I6&lt;TODAY()))),1,0))</f>
        <v/>
      </c>
      <c r="S6">
        <f>IF($R6=1,SUMPRODUCT(($R$4:$R$203=1)*(($Q$4:$Q$203&gt;$Q6)+(($Q$4:$Q$203=$Q6)*(ROW($Q$4:$Q$203)&lt;ROW($Q6)))))+1,"")</f>
        <v/>
      </c>
      <c r="T6" s="11">
        <f>IF($B6="","",0)</f>
        <v/>
      </c>
      <c r="U6">
        <f>IF($B6="",0,IF($E6="Dead Lead",1,0))</f>
        <v/>
      </c>
      <c r="V6">
        <f>IF($U6=1,SUMPRODUCT(($U$4:$U$203=1)*(($J$4:$J$203&lt;$J6)+(($J$4:$J$203=$J6)*(ROW($J$4:$J$203)&lt;ROW($J6)))))+1,"")</f>
        <v/>
      </c>
      <c r="W6" s="12">
        <f>IF($B6="","","")</f>
        <v/>
      </c>
      <c r="X6" s="11">
        <f>IF($B6="","",0)</f>
        <v/>
      </c>
      <c r="Y6">
        <f>IF($B6="",0,IF(AND($R6=0,$E6&lt;&gt;"Dead Lead",ISNUMBER($J6),$J6&lt;=TODAY()+7),1,0))</f>
        <v/>
      </c>
      <c r="Z6">
        <f>IF($Y6=1,SUMPRODUCT(($Y$4:$Y$203=1)*(($J$4:$J$203&lt;$J6)+(($J$4:$J$203=$J6)*(ROW($J$4:$J$203)&lt;ROW($J6)))))+1,"")</f>
        <v/>
      </c>
      <c r="AA6" s="12">
        <f>IF($B6="","","")</f>
        <v/>
      </c>
      <c r="AB6" s="11">
        <f>IF($B6="","",0)</f>
        <v/>
      </c>
      <c r="AC6" s="11" t="n"/>
      <c r="AD6">
        <f>IF($E6="","",IF($E6="VIP Transferred",IF($AA6="","",IF(N($AB6)&gt;=3,"N/A - Closed",$AA6+CHOOSE(N($AB6)+1,1,2,3))),IF($I6="","",IF(VLOOKUP($E6,Lists!$C$2:$E$20,3,FALSE)="CLOSED","N/A - Closed",$I6+VLOOKUP($E6,Lists!$C$2:$E$20,3,FALSE)))))</f>
        <v/>
      </c>
      <c r="AE6">
        <f>IF(AND($AC6="Yes",$W6&lt;&gt;"",N($X6)&lt;3),$W6+CHOOSE(N($X6)+1,1,7,14),"")</f>
        <v/>
      </c>
      <c r="AF6" s="12">
        <f>IF($B6="","","")</f>
        <v/>
      </c>
    </row>
    <row r="7">
      <c r="A7" s="11">
        <f>IF($B7="","","YU-"&amp;TEXT(ROW()-3,"0000"))</f>
        <v/>
      </c>
      <c r="B7" s="11" t="n"/>
      <c r="C7" s="11" t="inlineStr">
        <is>
          <t>Discord</t>
        </is>
      </c>
      <c r="D7" s="11" t="n"/>
      <c r="E7" s="11" t="n"/>
      <c r="F7" s="11">
        <f>IF($E7="","",IF($E7="Dead Lead","Black",IF(IF(ISNUMBER($J7),TODAY()-$J7&gt;3,FALSE),"Red",IF($E7="Reactivation Queue","Red",IF(OR($E7="First Deposit",$E7="Active"),"Green","Yellow")))))</f>
        <v/>
      </c>
      <c r="G7" s="11">
        <f>IF($F7="","",IF($F7="Red",1,IF($F7="Yellow",2,IF($F7="Green",3,4))))</f>
        <v/>
      </c>
      <c r="H7" s="14" t="n"/>
      <c r="I7" s="14" t="n"/>
      <c r="J7" s="12">
        <f>IF($E7="","",IF(AND(ISNUMBER($AD7),ISNUMBER($AE7)),MIN($AD7,$AE7),IF(ISNUMBER($AE7),$AE7,$AD7)))</f>
        <v/>
      </c>
      <c r="K7" s="11">
        <f>IF($E7="","",IF($E7="VIP Transferred",IF(N($AB7)&gt;=3,"Should be Dead Lead (3 attempts, still no deposit) - will auto-update","Day "&amp;CHOOSE(N($AB7)+1,1,2,3)&amp;" URGENT VIP check-in - help them finish KYC and lock in first deposit"),IF(AND($D7="",$E7&lt;&gt;"Dead Lead"),IF(N($T7)&gt;=3,"READY FOR DEAD LEAD (3 attempts, still no sign-up)","GET ROOBET SIGN-UP - "&amp;IFERROR(VLOOKUP($E7,Lists!$C$2:$E$20,2,FALSE),"")),IFERROR(VLOOKUP($E7,Lists!$C$2:$E$20,2,FALSE),""))))&amp;IF($AC7="Yes",IF(N($X7)&gt;=3," | VIP Team checkpoints complete - no more automatic check-ins"," | Day "&amp;CHOOSE(N($X7)+1,1,7,14)&amp;" VIP Team check-in - confirm active/depositing"),"")</f>
        <v/>
      </c>
      <c r="L7" s="11" t="n"/>
      <c r="M7" s="11" t="n"/>
      <c r="N7" s="15" t="n"/>
      <c r="O7" s="11">
        <f>IF($E7="","",IF(AND($E7="Active",$F7="Green"),"Yes","No"))</f>
        <v/>
      </c>
      <c r="P7" s="11" t="n"/>
      <c r="Q7">
        <f>IF($I7="","",ROUND(TODAY()-$I7,0))</f>
        <v/>
      </c>
      <c r="R7">
        <f>IF($B7="",0,IF(OR(AND(ISNUMBER($J7),$J7&lt;=TODAY(),$E7&lt;&gt;"Dead Lead"),AND($D7="",$E7&lt;&gt;"",$E7&lt;&gt;"Dead Lead",OR($I7="",$I7&lt;TODAY()))),1,0))</f>
        <v/>
      </c>
      <c r="S7">
        <f>IF($R7=1,SUMPRODUCT(($R$4:$R$203=1)*(($Q$4:$Q$203&gt;$Q7)+(($Q$4:$Q$203=$Q7)*(ROW($Q$4:$Q$203)&lt;ROW($Q7)))))+1,"")</f>
        <v/>
      </c>
      <c r="T7" s="11">
        <f>IF($B7="","",0)</f>
        <v/>
      </c>
      <c r="U7">
        <f>IF($B7="",0,IF($E7="Dead Lead",1,0))</f>
        <v/>
      </c>
      <c r="V7">
        <f>IF($U7=1,SUMPRODUCT(($U$4:$U$203=1)*(($J$4:$J$203&lt;$J7)+(($J$4:$J$203=$J7)*(ROW($J$4:$J$203)&lt;ROW($J7)))))+1,"")</f>
        <v/>
      </c>
      <c r="W7" s="12">
        <f>IF($B7="","","")</f>
        <v/>
      </c>
      <c r="X7" s="11">
        <f>IF($B7="","",0)</f>
        <v/>
      </c>
      <c r="Y7">
        <f>IF($B7="",0,IF(AND($R7=0,$E7&lt;&gt;"Dead Lead",ISNUMBER($J7),$J7&lt;=TODAY()+7),1,0))</f>
        <v/>
      </c>
      <c r="Z7">
        <f>IF($Y7=1,SUMPRODUCT(($Y$4:$Y$203=1)*(($J$4:$J$203&lt;$J7)+(($J$4:$J$203=$J7)*(ROW($J$4:$J$203)&lt;ROW($J7)))))+1,"")</f>
        <v/>
      </c>
      <c r="AA7" s="12">
        <f>IF($B7="","","")</f>
        <v/>
      </c>
      <c r="AB7" s="11">
        <f>IF($B7="","",0)</f>
        <v/>
      </c>
      <c r="AC7" s="11" t="n"/>
      <c r="AD7">
        <f>IF($E7="","",IF($E7="VIP Transferred",IF($AA7="","",IF(N($AB7)&gt;=3,"N/A - Closed",$AA7+CHOOSE(N($AB7)+1,1,2,3))),IF($I7="","",IF(VLOOKUP($E7,Lists!$C$2:$E$20,3,FALSE)="CLOSED","N/A - Closed",$I7+VLOOKUP($E7,Lists!$C$2:$E$20,3,FALSE)))))</f>
        <v/>
      </c>
      <c r="AE7">
        <f>IF(AND($AC7="Yes",$W7&lt;&gt;"",N($X7)&lt;3),$W7+CHOOSE(N($X7)+1,1,7,14),"")</f>
        <v/>
      </c>
      <c r="AF7" s="12">
        <f>IF($B7="","","")</f>
        <v/>
      </c>
    </row>
    <row r="8">
      <c r="A8" s="11">
        <f>IF($B8="","","YU-"&amp;TEXT(ROW()-3,"0000"))</f>
        <v/>
      </c>
      <c r="B8" s="11" t="n"/>
      <c r="C8" s="11" t="inlineStr">
        <is>
          <t>Discord</t>
        </is>
      </c>
      <c r="D8" s="11" t="n"/>
      <c r="E8" s="11" t="n"/>
      <c r="F8" s="11">
        <f>IF($E8="","",IF($E8="Dead Lead","Black",IF(IF(ISNUMBER($J8),TODAY()-$J8&gt;3,FALSE),"Red",IF($E8="Reactivation Queue","Red",IF(OR($E8="First Deposit",$E8="Active"),"Green","Yellow")))))</f>
        <v/>
      </c>
      <c r="G8" s="11">
        <f>IF($F8="","",IF($F8="Red",1,IF($F8="Yellow",2,IF($F8="Green",3,4))))</f>
        <v/>
      </c>
      <c r="H8" s="14" t="n"/>
      <c r="I8" s="14" t="n"/>
      <c r="J8" s="12">
        <f>IF($E8="","",IF(AND(ISNUMBER($AD8),ISNUMBER($AE8)),MIN($AD8,$AE8),IF(ISNUMBER($AE8),$AE8,$AD8)))</f>
        <v/>
      </c>
      <c r="K8" s="11">
        <f>IF($E8="","",IF($E8="VIP Transferred",IF(N($AB8)&gt;=3,"Should be Dead Lead (3 attempts, still no deposit) - will auto-update","Day "&amp;CHOOSE(N($AB8)+1,1,2,3)&amp;" URGENT VIP check-in - help them finish KYC and lock in first deposit"),IF(AND($D8="",$E8&lt;&gt;"Dead Lead"),IF(N($T8)&gt;=3,"READY FOR DEAD LEAD (3 attempts, still no sign-up)","GET ROOBET SIGN-UP - "&amp;IFERROR(VLOOKUP($E8,Lists!$C$2:$E$20,2,FALSE),"")),IFERROR(VLOOKUP($E8,Lists!$C$2:$E$20,2,FALSE),""))))&amp;IF($AC8="Yes",IF(N($X8)&gt;=3," | VIP Team checkpoints complete - no more automatic check-ins"," | Day "&amp;CHOOSE(N($X8)+1,1,7,14)&amp;" VIP Team check-in - confirm active/depositing"),"")</f>
        <v/>
      </c>
      <c r="L8" s="11" t="n"/>
      <c r="M8" s="11" t="n"/>
      <c r="N8" s="15" t="n"/>
      <c r="O8" s="11">
        <f>IF($E8="","",IF(AND($E8="Active",$F8="Green"),"Yes","No"))</f>
        <v/>
      </c>
      <c r="P8" s="11" t="n"/>
      <c r="Q8">
        <f>IF($I8="","",ROUND(TODAY()-$I8,0))</f>
        <v/>
      </c>
      <c r="R8">
        <f>IF($B8="",0,IF(OR(AND(ISNUMBER($J8),$J8&lt;=TODAY(),$E8&lt;&gt;"Dead Lead"),AND($D8="",$E8&lt;&gt;"",$E8&lt;&gt;"Dead Lead",OR($I8="",$I8&lt;TODAY()))),1,0))</f>
        <v/>
      </c>
      <c r="S8">
        <f>IF($R8=1,SUMPRODUCT(($R$4:$R$203=1)*(($Q$4:$Q$203&gt;$Q8)+(($Q$4:$Q$203=$Q8)*(ROW($Q$4:$Q$203)&lt;ROW($Q8)))))+1,"")</f>
        <v/>
      </c>
      <c r="T8" s="11">
        <f>IF($B8="","",0)</f>
        <v/>
      </c>
      <c r="U8">
        <f>IF($B8="",0,IF($E8="Dead Lead",1,0))</f>
        <v/>
      </c>
      <c r="V8">
        <f>IF($U8=1,SUMPRODUCT(($U$4:$U$203=1)*(($J$4:$J$203&lt;$J8)+(($J$4:$J$203=$J8)*(ROW($J$4:$J$203)&lt;ROW($J8)))))+1,"")</f>
        <v/>
      </c>
      <c r="W8" s="12">
        <f>IF($B8="","","")</f>
        <v/>
      </c>
      <c r="X8" s="11">
        <f>IF($B8="","",0)</f>
        <v/>
      </c>
      <c r="Y8">
        <f>IF($B8="",0,IF(AND($R8=0,$E8&lt;&gt;"Dead Lead",ISNUMBER($J8),$J8&lt;=TODAY()+7),1,0))</f>
        <v/>
      </c>
      <c r="Z8">
        <f>IF($Y8=1,SUMPRODUCT(($Y$4:$Y$203=1)*(($J$4:$J$203&lt;$J8)+(($J$4:$J$203=$J8)*(ROW($J$4:$J$203)&lt;ROW($J8)))))+1,"")</f>
        <v/>
      </c>
      <c r="AA8" s="12">
        <f>IF($B8="","","")</f>
        <v/>
      </c>
      <c r="AB8" s="11">
        <f>IF($B8="","",0)</f>
        <v/>
      </c>
      <c r="AC8" s="11" t="n"/>
      <c r="AD8">
        <f>IF($E8="","",IF($E8="VIP Transferred",IF($AA8="","",IF(N($AB8)&gt;=3,"N/A - Closed",$AA8+CHOOSE(N($AB8)+1,1,2,3))),IF($I8="","",IF(VLOOKUP($E8,Lists!$C$2:$E$20,3,FALSE)="CLOSED","N/A - Closed",$I8+VLOOKUP($E8,Lists!$C$2:$E$20,3,FALSE)))))</f>
        <v/>
      </c>
      <c r="AE8">
        <f>IF(AND($AC8="Yes",$W8&lt;&gt;"",N($X8)&lt;3),$W8+CHOOSE(N($X8)+1,1,7,14),"")</f>
        <v/>
      </c>
      <c r="AF8" s="12">
        <f>IF($B8="","","")</f>
        <v/>
      </c>
    </row>
    <row r="9">
      <c r="A9" s="11">
        <f>IF($B9="","","YU-"&amp;TEXT(ROW()-3,"0000"))</f>
        <v/>
      </c>
      <c r="B9" s="11" t="n"/>
      <c r="C9" s="11" t="inlineStr">
        <is>
          <t>Discord</t>
        </is>
      </c>
      <c r="D9" s="11" t="n"/>
      <c r="E9" s="11" t="n"/>
      <c r="F9" s="11">
        <f>IF($E9="","",IF($E9="Dead Lead","Black",IF(IF(ISNUMBER($J9),TODAY()-$J9&gt;3,FALSE),"Red",IF($E9="Reactivation Queue","Red",IF(OR($E9="First Deposit",$E9="Active"),"Green","Yellow")))))</f>
        <v/>
      </c>
      <c r="G9" s="11">
        <f>IF($F9="","",IF($F9="Red",1,IF($F9="Yellow",2,IF($F9="Green",3,4))))</f>
        <v/>
      </c>
      <c r="H9" s="14" t="n"/>
      <c r="I9" s="14" t="n"/>
      <c r="J9" s="12">
        <f>IF($E9="","",IF(AND(ISNUMBER($AD9),ISNUMBER($AE9)),MIN($AD9,$AE9),IF(ISNUMBER($AE9),$AE9,$AD9)))</f>
        <v/>
      </c>
      <c r="K9" s="11">
        <f>IF($E9="","",IF($E9="VIP Transferred",IF(N($AB9)&gt;=3,"Should be Dead Lead (3 attempts, still no deposit) - will auto-update","Day "&amp;CHOOSE(N($AB9)+1,1,2,3)&amp;" URGENT VIP check-in - help them finish KYC and lock in first deposit"),IF(AND($D9="",$E9&lt;&gt;"Dead Lead"),IF(N($T9)&gt;=3,"READY FOR DEAD LEAD (3 attempts, still no sign-up)","GET ROOBET SIGN-UP - "&amp;IFERROR(VLOOKUP($E9,Lists!$C$2:$E$20,2,FALSE),"")),IFERROR(VLOOKUP($E9,Lists!$C$2:$E$20,2,FALSE),""))))&amp;IF($AC9="Yes",IF(N($X9)&gt;=3," | VIP Team checkpoints complete - no more automatic check-ins"," | Day "&amp;CHOOSE(N($X9)+1,1,7,14)&amp;" VIP Team check-in - confirm active/depositing"),"")</f>
        <v/>
      </c>
      <c r="L9" s="11" t="n"/>
      <c r="M9" s="11" t="n"/>
      <c r="N9" s="15" t="n"/>
      <c r="O9" s="11">
        <f>IF($E9="","",IF(AND($E9="Active",$F9="Green"),"Yes","No"))</f>
        <v/>
      </c>
      <c r="P9" s="11" t="n"/>
      <c r="Q9">
        <f>IF($I9="","",ROUND(TODAY()-$I9,0))</f>
        <v/>
      </c>
      <c r="R9">
        <f>IF($B9="",0,IF(OR(AND(ISNUMBER($J9),$J9&lt;=TODAY(),$E9&lt;&gt;"Dead Lead"),AND($D9="",$E9&lt;&gt;"",$E9&lt;&gt;"Dead Lead",OR($I9="",$I9&lt;TODAY()))),1,0))</f>
        <v/>
      </c>
      <c r="S9">
        <f>IF($R9=1,SUMPRODUCT(($R$4:$R$203=1)*(($Q$4:$Q$203&gt;$Q9)+(($Q$4:$Q$203=$Q9)*(ROW($Q$4:$Q$203)&lt;ROW($Q9)))))+1,"")</f>
        <v/>
      </c>
      <c r="T9" s="11">
        <f>IF($B9="","",0)</f>
        <v/>
      </c>
      <c r="U9">
        <f>IF($B9="",0,IF($E9="Dead Lead",1,0))</f>
        <v/>
      </c>
      <c r="V9">
        <f>IF($U9=1,SUMPRODUCT(($U$4:$U$203=1)*(($J$4:$J$203&lt;$J9)+(($J$4:$J$203=$J9)*(ROW($J$4:$J$203)&lt;ROW($J9)))))+1,"")</f>
        <v/>
      </c>
      <c r="W9" s="12">
        <f>IF($B9="","","")</f>
        <v/>
      </c>
      <c r="X9" s="11">
        <f>IF($B9="","",0)</f>
        <v/>
      </c>
      <c r="Y9">
        <f>IF($B9="",0,IF(AND($R9=0,$E9&lt;&gt;"Dead Lead",ISNUMBER($J9),$J9&lt;=TODAY()+7),1,0))</f>
        <v/>
      </c>
      <c r="Z9">
        <f>IF($Y9=1,SUMPRODUCT(($Y$4:$Y$203=1)*(($J$4:$J$203&lt;$J9)+(($J$4:$J$203=$J9)*(ROW($J$4:$J$203)&lt;ROW($J9)))))+1,"")</f>
        <v/>
      </c>
      <c r="AA9" s="12">
        <f>IF($B9="","","")</f>
        <v/>
      </c>
      <c r="AB9" s="11">
        <f>IF($B9="","",0)</f>
        <v/>
      </c>
      <c r="AC9" s="11" t="n"/>
      <c r="AD9">
        <f>IF($E9="","",IF($E9="VIP Transferred",IF($AA9="","",IF(N($AB9)&gt;=3,"N/A - Closed",$AA9+CHOOSE(N($AB9)+1,1,2,3))),IF($I9="","",IF(VLOOKUP($E9,Lists!$C$2:$E$20,3,FALSE)="CLOSED","N/A - Closed",$I9+VLOOKUP($E9,Lists!$C$2:$E$20,3,FALSE)))))</f>
        <v/>
      </c>
      <c r="AE9">
        <f>IF(AND($AC9="Yes",$W9&lt;&gt;"",N($X9)&lt;3),$W9+CHOOSE(N($X9)+1,1,7,14),"")</f>
        <v/>
      </c>
      <c r="AF9" s="12">
        <f>IF($B9="","","")</f>
        <v/>
      </c>
    </row>
    <row r="10">
      <c r="A10" s="11">
        <f>IF($B10="","","YU-"&amp;TEXT(ROW()-3,"0000"))</f>
        <v/>
      </c>
      <c r="B10" s="11" t="n"/>
      <c r="C10" s="11" t="inlineStr">
        <is>
          <t>Discord</t>
        </is>
      </c>
      <c r="D10" s="11" t="n"/>
      <c r="E10" s="11" t="n"/>
      <c r="F10" s="11">
        <f>IF($E10="","",IF($E10="Dead Lead","Black",IF(IF(ISNUMBER($J10),TODAY()-$J10&gt;3,FALSE),"Red",IF($E10="Reactivation Queue","Red",IF(OR($E10="First Deposit",$E10="Active"),"Green","Yellow")))))</f>
        <v/>
      </c>
      <c r="G10" s="11">
        <f>IF($F10="","",IF($F10="Red",1,IF($F10="Yellow",2,IF($F10="Green",3,4))))</f>
        <v/>
      </c>
      <c r="H10" s="14" t="n"/>
      <c r="I10" s="14" t="n"/>
      <c r="J10" s="12">
        <f>IF($E10="","",IF(AND(ISNUMBER($AD10),ISNUMBER($AE10)),MIN($AD10,$AE10),IF(ISNUMBER($AE10),$AE10,$AD10)))</f>
        <v/>
      </c>
      <c r="K10" s="11">
        <f>IF($E10="","",IF($E10="VIP Transferred",IF(N($AB10)&gt;=3,"Should be Dead Lead (3 attempts, still no deposit) - will auto-update","Day "&amp;CHOOSE(N($AB10)+1,1,2,3)&amp;" URGENT VIP check-in - help them finish KYC and lock in first deposit"),IF(AND($D10="",$E10&lt;&gt;"Dead Lead"),IF(N($T10)&gt;=3,"READY FOR DEAD LEAD (3 attempts, still no sign-up)","GET ROOBET SIGN-UP - "&amp;IFERROR(VLOOKUP($E10,Lists!$C$2:$E$20,2,FALSE),"")),IFERROR(VLOOKUP($E10,Lists!$C$2:$E$20,2,FALSE),""))))&amp;IF($AC10="Yes",IF(N($X10)&gt;=3," | VIP Team checkpoints complete - no more automatic check-ins"," | Day "&amp;CHOOSE(N($X10)+1,1,7,14)&amp;" VIP Team check-in - confirm active/depositing"),"")</f>
        <v/>
      </c>
      <c r="L10" s="11" t="n"/>
      <c r="M10" s="11" t="n"/>
      <c r="N10" s="15" t="n"/>
      <c r="O10" s="11">
        <f>IF($E10="","",IF(AND($E10="Active",$F10="Green"),"Yes","No"))</f>
        <v/>
      </c>
      <c r="P10" s="11" t="n"/>
      <c r="Q10">
        <f>IF($I10="","",ROUND(TODAY()-$I10,0))</f>
        <v/>
      </c>
      <c r="R10">
        <f>IF($B10="",0,IF(OR(AND(ISNUMBER($J10),$J10&lt;=TODAY(),$E10&lt;&gt;"Dead Lead"),AND($D10="",$E10&lt;&gt;"",$E10&lt;&gt;"Dead Lead",OR($I10="",$I10&lt;TODAY()))),1,0))</f>
        <v/>
      </c>
      <c r="S10">
        <f>IF($R10=1,SUMPRODUCT(($R$4:$R$203=1)*(($Q$4:$Q$203&gt;$Q10)+(($Q$4:$Q$203=$Q10)*(ROW($Q$4:$Q$203)&lt;ROW($Q10)))))+1,"")</f>
        <v/>
      </c>
      <c r="T10" s="11">
        <f>IF($B10="","",0)</f>
        <v/>
      </c>
      <c r="U10">
        <f>IF($B10="",0,IF($E10="Dead Lead",1,0))</f>
        <v/>
      </c>
      <c r="V10">
        <f>IF($U10=1,SUMPRODUCT(($U$4:$U$203=1)*(($J$4:$J$203&lt;$J10)+(($J$4:$J$203=$J10)*(ROW($J$4:$J$203)&lt;ROW($J10)))))+1,"")</f>
        <v/>
      </c>
      <c r="W10" s="12">
        <f>IF($B10="","","")</f>
        <v/>
      </c>
      <c r="X10" s="11">
        <f>IF($B10="","",0)</f>
        <v/>
      </c>
      <c r="Y10">
        <f>IF($B10="",0,IF(AND($R10=0,$E10&lt;&gt;"Dead Lead",ISNUMBER($J10),$J10&lt;=TODAY()+7),1,0))</f>
        <v/>
      </c>
      <c r="Z10">
        <f>IF($Y10=1,SUMPRODUCT(($Y$4:$Y$203=1)*(($J$4:$J$203&lt;$J10)+(($J$4:$J$203=$J10)*(ROW($J$4:$J$203)&lt;ROW($J10)))))+1,"")</f>
        <v/>
      </c>
      <c r="AA10" s="12">
        <f>IF($B10="","","")</f>
        <v/>
      </c>
      <c r="AB10" s="11">
        <f>IF($B10="","",0)</f>
        <v/>
      </c>
      <c r="AC10" s="11" t="n"/>
      <c r="AD10">
        <f>IF($E10="","",IF($E10="VIP Transferred",IF($AA10="","",IF(N($AB10)&gt;=3,"N/A - Closed",$AA10+CHOOSE(N($AB10)+1,1,2,3))),IF($I10="","",IF(VLOOKUP($E10,Lists!$C$2:$E$20,3,FALSE)="CLOSED","N/A - Closed",$I10+VLOOKUP($E10,Lists!$C$2:$E$20,3,FALSE)))))</f>
        <v/>
      </c>
      <c r="AE10">
        <f>IF(AND($AC10="Yes",$W10&lt;&gt;"",N($X10)&lt;3),$W10+CHOOSE(N($X10)+1,1,7,14),"")</f>
        <v/>
      </c>
      <c r="AF10" s="12">
        <f>IF($B10="","","")</f>
        <v/>
      </c>
    </row>
    <row r="11">
      <c r="A11" s="11">
        <f>IF($B11="","","YU-"&amp;TEXT(ROW()-3,"0000"))</f>
        <v/>
      </c>
      <c r="B11" s="11" t="n"/>
      <c r="C11" s="11" t="inlineStr">
        <is>
          <t>Discord</t>
        </is>
      </c>
      <c r="D11" s="11" t="n"/>
      <c r="E11" s="11" t="n"/>
      <c r="F11" s="11">
        <f>IF($E11="","",IF($E11="Dead Lead","Black",IF(IF(ISNUMBER($J11),TODAY()-$J11&gt;3,FALSE),"Red",IF($E11="Reactivation Queue","Red",IF(OR($E11="First Deposit",$E11="Active"),"Green","Yellow")))))</f>
        <v/>
      </c>
      <c r="G11" s="11">
        <f>IF($F11="","",IF($F11="Red",1,IF($F11="Yellow",2,IF($F11="Green",3,4))))</f>
        <v/>
      </c>
      <c r="H11" s="14" t="n"/>
      <c r="I11" s="14" t="n"/>
      <c r="J11" s="12">
        <f>IF($E11="","",IF(AND(ISNUMBER($AD11),ISNUMBER($AE11)),MIN($AD11,$AE11),IF(ISNUMBER($AE11),$AE11,$AD11)))</f>
        <v/>
      </c>
      <c r="K11" s="11">
        <f>IF($E11="","",IF($E11="VIP Transferred",IF(N($AB11)&gt;=3,"Should be Dead Lead (3 attempts, still no deposit) - will auto-update","Day "&amp;CHOOSE(N($AB11)+1,1,2,3)&amp;" URGENT VIP check-in - help them finish KYC and lock in first deposit"),IF(AND($D11="",$E11&lt;&gt;"Dead Lead"),IF(N($T11)&gt;=3,"READY FOR DEAD LEAD (3 attempts, still no sign-up)","GET ROOBET SIGN-UP - "&amp;IFERROR(VLOOKUP($E11,Lists!$C$2:$E$20,2,FALSE),"")),IFERROR(VLOOKUP($E11,Lists!$C$2:$E$20,2,FALSE),""))))&amp;IF($AC11="Yes",IF(N($X11)&gt;=3," | VIP Team checkpoints complete - no more automatic check-ins"," | Day "&amp;CHOOSE(N($X11)+1,1,7,14)&amp;" VIP Team check-in - confirm active/depositing"),"")</f>
        <v/>
      </c>
      <c r="L11" s="11" t="n"/>
      <c r="M11" s="11" t="n"/>
      <c r="N11" s="15" t="n"/>
      <c r="O11" s="11">
        <f>IF($E11="","",IF(AND($E11="Active",$F11="Green"),"Yes","No"))</f>
        <v/>
      </c>
      <c r="P11" s="11" t="n"/>
      <c r="Q11">
        <f>IF($I11="","",ROUND(TODAY()-$I11,0))</f>
        <v/>
      </c>
      <c r="R11">
        <f>IF($B11="",0,IF(OR(AND(ISNUMBER($J11),$J11&lt;=TODAY(),$E11&lt;&gt;"Dead Lead"),AND($D11="",$E11&lt;&gt;"",$E11&lt;&gt;"Dead Lead",OR($I11="",$I11&lt;TODAY()))),1,0))</f>
        <v/>
      </c>
      <c r="S11">
        <f>IF($R11=1,SUMPRODUCT(($R$4:$R$203=1)*(($Q$4:$Q$203&gt;$Q11)+(($Q$4:$Q$203=$Q11)*(ROW($Q$4:$Q$203)&lt;ROW($Q11)))))+1,"")</f>
        <v/>
      </c>
      <c r="T11" s="11">
        <f>IF($B11="","",0)</f>
        <v/>
      </c>
      <c r="U11">
        <f>IF($B11="",0,IF($E11="Dead Lead",1,0))</f>
        <v/>
      </c>
      <c r="V11">
        <f>IF($U11=1,SUMPRODUCT(($U$4:$U$203=1)*(($J$4:$J$203&lt;$J11)+(($J$4:$J$203=$J11)*(ROW($J$4:$J$203)&lt;ROW($J11)))))+1,"")</f>
        <v/>
      </c>
      <c r="W11" s="12">
        <f>IF($B11="","","")</f>
        <v/>
      </c>
      <c r="X11" s="11">
        <f>IF($B11="","",0)</f>
        <v/>
      </c>
      <c r="Y11">
        <f>IF($B11="",0,IF(AND($R11=0,$E11&lt;&gt;"Dead Lead",ISNUMBER($J11),$J11&lt;=TODAY()+7),1,0))</f>
        <v/>
      </c>
      <c r="Z11">
        <f>IF($Y11=1,SUMPRODUCT(($Y$4:$Y$203=1)*(($J$4:$J$203&lt;$J11)+(($J$4:$J$203=$J11)*(ROW($J$4:$J$203)&lt;ROW($J11)))))+1,"")</f>
        <v/>
      </c>
      <c r="AA11" s="12">
        <f>IF($B11="","","")</f>
        <v/>
      </c>
      <c r="AB11" s="11">
        <f>IF($B11="","",0)</f>
        <v/>
      </c>
      <c r="AC11" s="11" t="n"/>
      <c r="AD11">
        <f>IF($E11="","",IF($E11="VIP Transferred",IF($AA11="","",IF(N($AB11)&gt;=3,"N/A - Closed",$AA11+CHOOSE(N($AB11)+1,1,2,3))),IF($I11="","",IF(VLOOKUP($E11,Lists!$C$2:$E$20,3,FALSE)="CLOSED","N/A - Closed",$I11+VLOOKUP($E11,Lists!$C$2:$E$20,3,FALSE)))))</f>
        <v/>
      </c>
      <c r="AE11">
        <f>IF(AND($AC11="Yes",$W11&lt;&gt;"",N($X11)&lt;3),$W11+CHOOSE(N($X11)+1,1,7,14),"")</f>
        <v/>
      </c>
      <c r="AF11" s="12">
        <f>IF($B11="","","")</f>
        <v/>
      </c>
    </row>
    <row r="12">
      <c r="A12" s="11">
        <f>IF($B12="","","YU-"&amp;TEXT(ROW()-3,"0000"))</f>
        <v/>
      </c>
      <c r="B12" s="11" t="n"/>
      <c r="C12" s="11" t="inlineStr">
        <is>
          <t>Discord</t>
        </is>
      </c>
      <c r="D12" s="11" t="n"/>
      <c r="E12" s="11" t="n"/>
      <c r="F12" s="11">
        <f>IF($E12="","",IF($E12="Dead Lead","Black",IF(IF(ISNUMBER($J12),TODAY()-$J12&gt;3,FALSE),"Red",IF($E12="Reactivation Queue","Red",IF(OR($E12="First Deposit",$E12="Active"),"Green","Yellow")))))</f>
        <v/>
      </c>
      <c r="G12" s="11">
        <f>IF($F12="","",IF($F12="Red",1,IF($F12="Yellow",2,IF($F12="Green",3,4))))</f>
        <v/>
      </c>
      <c r="H12" s="14" t="n"/>
      <c r="I12" s="14" t="n"/>
      <c r="J12" s="12">
        <f>IF($E12="","",IF(AND(ISNUMBER($AD12),ISNUMBER($AE12)),MIN($AD12,$AE12),IF(ISNUMBER($AE12),$AE12,$AD12)))</f>
        <v/>
      </c>
      <c r="K12" s="11">
        <f>IF($E12="","",IF($E12="VIP Transferred",IF(N($AB12)&gt;=3,"Should be Dead Lead (3 attempts, still no deposit) - will auto-update","Day "&amp;CHOOSE(N($AB12)+1,1,2,3)&amp;" URGENT VIP check-in - help them finish KYC and lock in first deposit"),IF(AND($D12="",$E12&lt;&gt;"Dead Lead"),IF(N($T12)&gt;=3,"READY FOR DEAD LEAD (3 attempts, still no sign-up)","GET ROOBET SIGN-UP - "&amp;IFERROR(VLOOKUP($E12,Lists!$C$2:$E$20,2,FALSE),"")),IFERROR(VLOOKUP($E12,Lists!$C$2:$E$20,2,FALSE),""))))&amp;IF($AC12="Yes",IF(N($X12)&gt;=3," | VIP Team checkpoints complete - no more automatic check-ins"," | Day "&amp;CHOOSE(N($X12)+1,1,7,14)&amp;" VIP Team check-in - confirm active/depositing"),"")</f>
        <v/>
      </c>
      <c r="L12" s="11" t="n"/>
      <c r="M12" s="11" t="n"/>
      <c r="N12" s="15" t="n"/>
      <c r="O12" s="11">
        <f>IF($E12="","",IF(AND($E12="Active",$F12="Green"),"Yes","No"))</f>
        <v/>
      </c>
      <c r="P12" s="11" t="n"/>
      <c r="Q12">
        <f>IF($I12="","",ROUND(TODAY()-$I12,0))</f>
        <v/>
      </c>
      <c r="R12">
        <f>IF($B12="",0,IF(OR(AND(ISNUMBER($J12),$J12&lt;=TODAY(),$E12&lt;&gt;"Dead Lead"),AND($D12="",$E12&lt;&gt;"",$E12&lt;&gt;"Dead Lead",OR($I12="",$I12&lt;TODAY()))),1,0))</f>
        <v/>
      </c>
      <c r="S12">
        <f>IF($R12=1,SUMPRODUCT(($R$4:$R$203=1)*(($Q$4:$Q$203&gt;$Q12)+(($Q$4:$Q$203=$Q12)*(ROW($Q$4:$Q$203)&lt;ROW($Q12)))))+1,"")</f>
        <v/>
      </c>
      <c r="T12" s="11">
        <f>IF($B12="","",0)</f>
        <v/>
      </c>
      <c r="U12">
        <f>IF($B12="",0,IF($E12="Dead Lead",1,0))</f>
        <v/>
      </c>
      <c r="V12">
        <f>IF($U12=1,SUMPRODUCT(($U$4:$U$203=1)*(($J$4:$J$203&lt;$J12)+(($J$4:$J$203=$J12)*(ROW($J$4:$J$203)&lt;ROW($J12)))))+1,"")</f>
        <v/>
      </c>
      <c r="W12" s="12">
        <f>IF($B12="","","")</f>
        <v/>
      </c>
      <c r="X12" s="11">
        <f>IF($B12="","",0)</f>
        <v/>
      </c>
      <c r="Y12">
        <f>IF($B12="",0,IF(AND($R12=0,$E12&lt;&gt;"Dead Lead",ISNUMBER($J12),$J12&lt;=TODAY()+7),1,0))</f>
        <v/>
      </c>
      <c r="Z12">
        <f>IF($Y12=1,SUMPRODUCT(($Y$4:$Y$203=1)*(($J$4:$J$203&lt;$J12)+(($J$4:$J$203=$J12)*(ROW($J$4:$J$203)&lt;ROW($J12)))))+1,"")</f>
        <v/>
      </c>
      <c r="AA12" s="12">
        <f>IF($B12="","","")</f>
        <v/>
      </c>
      <c r="AB12" s="11">
        <f>IF($B12="","",0)</f>
        <v/>
      </c>
      <c r="AC12" s="11" t="n"/>
      <c r="AD12">
        <f>IF($E12="","",IF($E12="VIP Transferred",IF($AA12="","",IF(N($AB12)&gt;=3,"N/A - Closed",$AA12+CHOOSE(N($AB12)+1,1,2,3))),IF($I12="","",IF(VLOOKUP($E12,Lists!$C$2:$E$20,3,FALSE)="CLOSED","N/A - Closed",$I12+VLOOKUP($E12,Lists!$C$2:$E$20,3,FALSE)))))</f>
        <v/>
      </c>
      <c r="AE12">
        <f>IF(AND($AC12="Yes",$W12&lt;&gt;"",N($X12)&lt;3),$W12+CHOOSE(N($X12)+1,1,7,14),"")</f>
        <v/>
      </c>
      <c r="AF12" s="12">
        <f>IF($B12="","","")</f>
        <v/>
      </c>
    </row>
    <row r="13">
      <c r="A13" s="11">
        <f>IF($B13="","","YU-"&amp;TEXT(ROW()-3,"0000"))</f>
        <v/>
      </c>
      <c r="B13" s="11" t="n"/>
      <c r="C13" s="11" t="inlineStr">
        <is>
          <t>Discord</t>
        </is>
      </c>
      <c r="D13" s="11" t="n"/>
      <c r="E13" s="11" t="n"/>
      <c r="F13" s="11">
        <f>IF($E13="","",IF($E13="Dead Lead","Black",IF(IF(ISNUMBER($J13),TODAY()-$J13&gt;3,FALSE),"Red",IF($E13="Reactivation Queue","Red",IF(OR($E13="First Deposit",$E13="Active"),"Green","Yellow")))))</f>
        <v/>
      </c>
      <c r="G13" s="11">
        <f>IF($F13="","",IF($F13="Red",1,IF($F13="Yellow",2,IF($F13="Green",3,4))))</f>
        <v/>
      </c>
      <c r="H13" s="14" t="n"/>
      <c r="I13" s="14" t="n"/>
      <c r="J13" s="12">
        <f>IF($E13="","",IF(AND(ISNUMBER($AD13),ISNUMBER($AE13)),MIN($AD13,$AE13),IF(ISNUMBER($AE13),$AE13,$AD13)))</f>
        <v/>
      </c>
      <c r="K13" s="11">
        <f>IF($E13="","",IF($E13="VIP Transferred",IF(N($AB13)&gt;=3,"Should be Dead Lead (3 attempts, still no deposit) - will auto-update","Day "&amp;CHOOSE(N($AB13)+1,1,2,3)&amp;" URGENT VIP check-in - help them finish KYC and lock in first deposit"),IF(AND($D13="",$E13&lt;&gt;"Dead Lead"),IF(N($T13)&gt;=3,"READY FOR DEAD LEAD (3 attempts, still no sign-up)","GET ROOBET SIGN-UP - "&amp;IFERROR(VLOOKUP($E13,Lists!$C$2:$E$20,2,FALSE),"")),IFERROR(VLOOKUP($E13,Lists!$C$2:$E$20,2,FALSE),""))))&amp;IF($AC13="Yes",IF(N($X13)&gt;=3," | VIP Team checkpoints complete - no more automatic check-ins"," | Day "&amp;CHOOSE(N($X13)+1,1,7,14)&amp;" VIP Team check-in - confirm active/depositing"),"")</f>
        <v/>
      </c>
      <c r="L13" s="11" t="n"/>
      <c r="M13" s="11" t="n"/>
      <c r="N13" s="15" t="n"/>
      <c r="O13" s="11">
        <f>IF($E13="","",IF(AND($E13="Active",$F13="Green"),"Yes","No"))</f>
        <v/>
      </c>
      <c r="P13" s="11" t="n"/>
      <c r="Q13">
        <f>IF($I13="","",ROUND(TODAY()-$I13,0))</f>
        <v/>
      </c>
      <c r="R13">
        <f>IF($B13="",0,IF(OR(AND(ISNUMBER($J13),$J13&lt;=TODAY(),$E13&lt;&gt;"Dead Lead"),AND($D13="",$E13&lt;&gt;"",$E13&lt;&gt;"Dead Lead",OR($I13="",$I13&lt;TODAY()))),1,0))</f>
        <v/>
      </c>
      <c r="S13">
        <f>IF($R13=1,SUMPRODUCT(($R$4:$R$203=1)*(($Q$4:$Q$203&gt;$Q13)+(($Q$4:$Q$203=$Q13)*(ROW($Q$4:$Q$203)&lt;ROW($Q13)))))+1,"")</f>
        <v/>
      </c>
      <c r="T13" s="11">
        <f>IF($B13="","",0)</f>
        <v/>
      </c>
      <c r="U13">
        <f>IF($B13="",0,IF($E13="Dead Lead",1,0))</f>
        <v/>
      </c>
      <c r="V13">
        <f>IF($U13=1,SUMPRODUCT(($U$4:$U$203=1)*(($J$4:$J$203&lt;$J13)+(($J$4:$J$203=$J13)*(ROW($J$4:$J$203)&lt;ROW($J13)))))+1,"")</f>
        <v/>
      </c>
      <c r="W13" s="12">
        <f>IF($B13="","","")</f>
        <v/>
      </c>
      <c r="X13" s="11">
        <f>IF($B13="","",0)</f>
        <v/>
      </c>
      <c r="Y13">
        <f>IF($B13="",0,IF(AND($R13=0,$E13&lt;&gt;"Dead Lead",ISNUMBER($J13),$J13&lt;=TODAY()+7),1,0))</f>
        <v/>
      </c>
      <c r="Z13">
        <f>IF($Y13=1,SUMPRODUCT(($Y$4:$Y$203=1)*(($J$4:$J$203&lt;$J13)+(($J$4:$J$203=$J13)*(ROW($J$4:$J$203)&lt;ROW($J13)))))+1,"")</f>
        <v/>
      </c>
      <c r="AA13" s="12">
        <f>IF($B13="","","")</f>
        <v/>
      </c>
      <c r="AB13" s="11">
        <f>IF($B13="","",0)</f>
        <v/>
      </c>
      <c r="AC13" s="11" t="n"/>
      <c r="AD13">
        <f>IF($E13="","",IF($E13="VIP Transferred",IF($AA13="","",IF(N($AB13)&gt;=3,"N/A - Closed",$AA13+CHOOSE(N($AB13)+1,1,2,3))),IF($I13="","",IF(VLOOKUP($E13,Lists!$C$2:$E$20,3,FALSE)="CLOSED","N/A - Closed",$I13+VLOOKUP($E13,Lists!$C$2:$E$20,3,FALSE)))))</f>
        <v/>
      </c>
      <c r="AE13">
        <f>IF(AND($AC13="Yes",$W13&lt;&gt;"",N($X13)&lt;3),$W13+CHOOSE(N($X13)+1,1,7,14),"")</f>
        <v/>
      </c>
      <c r="AF13" s="12">
        <f>IF($B13="","","")</f>
        <v/>
      </c>
    </row>
    <row r="14">
      <c r="A14" s="11">
        <f>IF($B14="","","YU-"&amp;TEXT(ROW()-3,"0000"))</f>
        <v/>
      </c>
      <c r="B14" s="11" t="n"/>
      <c r="C14" s="11" t="inlineStr">
        <is>
          <t>Discord</t>
        </is>
      </c>
      <c r="D14" s="11" t="n"/>
      <c r="E14" s="11" t="n"/>
      <c r="F14" s="11">
        <f>IF($E14="","",IF($E14="Dead Lead","Black",IF(IF(ISNUMBER($J14),TODAY()-$J14&gt;3,FALSE),"Red",IF($E14="Reactivation Queue","Red",IF(OR($E14="First Deposit",$E14="Active"),"Green","Yellow")))))</f>
        <v/>
      </c>
      <c r="G14" s="11">
        <f>IF($F14="","",IF($F14="Red",1,IF($F14="Yellow",2,IF($F14="Green",3,4))))</f>
        <v/>
      </c>
      <c r="H14" s="14" t="n"/>
      <c r="I14" s="14" t="n"/>
      <c r="J14" s="12">
        <f>IF($E14="","",IF(AND(ISNUMBER($AD14),ISNUMBER($AE14)),MIN($AD14,$AE14),IF(ISNUMBER($AE14),$AE14,$AD14)))</f>
        <v/>
      </c>
      <c r="K14" s="11">
        <f>IF($E14="","",IF($E14="VIP Transferred",IF(N($AB14)&gt;=3,"Should be Dead Lead (3 attempts, still no deposit) - will auto-update","Day "&amp;CHOOSE(N($AB14)+1,1,2,3)&amp;" URGENT VIP check-in - help them finish KYC and lock in first deposit"),IF(AND($D14="",$E14&lt;&gt;"Dead Lead"),IF(N($T14)&gt;=3,"READY FOR DEAD LEAD (3 attempts, still no sign-up)","GET ROOBET SIGN-UP - "&amp;IFERROR(VLOOKUP($E14,Lists!$C$2:$E$20,2,FALSE),"")),IFERROR(VLOOKUP($E14,Lists!$C$2:$E$20,2,FALSE),""))))&amp;IF($AC14="Yes",IF(N($X14)&gt;=3," | VIP Team checkpoints complete - no more automatic check-ins"," | Day "&amp;CHOOSE(N($X14)+1,1,7,14)&amp;" VIP Team check-in - confirm active/depositing"),"")</f>
        <v/>
      </c>
      <c r="L14" s="11" t="n"/>
      <c r="M14" s="11" t="n"/>
      <c r="N14" s="15" t="n"/>
      <c r="O14" s="11">
        <f>IF($E14="","",IF(AND($E14="Active",$F14="Green"),"Yes","No"))</f>
        <v/>
      </c>
      <c r="P14" s="11" t="n"/>
      <c r="Q14">
        <f>IF($I14="","",ROUND(TODAY()-$I14,0))</f>
        <v/>
      </c>
      <c r="R14">
        <f>IF($B14="",0,IF(OR(AND(ISNUMBER($J14),$J14&lt;=TODAY(),$E14&lt;&gt;"Dead Lead"),AND($D14="",$E14&lt;&gt;"",$E14&lt;&gt;"Dead Lead",OR($I14="",$I14&lt;TODAY()))),1,0))</f>
        <v/>
      </c>
      <c r="S14">
        <f>IF($R14=1,SUMPRODUCT(($R$4:$R$203=1)*(($Q$4:$Q$203&gt;$Q14)+(($Q$4:$Q$203=$Q14)*(ROW($Q$4:$Q$203)&lt;ROW($Q14)))))+1,"")</f>
        <v/>
      </c>
      <c r="T14" s="11">
        <f>IF($B14="","",0)</f>
        <v/>
      </c>
      <c r="U14">
        <f>IF($B14="",0,IF($E14="Dead Lead",1,0))</f>
        <v/>
      </c>
      <c r="V14">
        <f>IF($U14=1,SUMPRODUCT(($U$4:$U$203=1)*(($J$4:$J$203&lt;$J14)+(($J$4:$J$203=$J14)*(ROW($J$4:$J$203)&lt;ROW($J14)))))+1,"")</f>
        <v/>
      </c>
      <c r="W14" s="12">
        <f>IF($B14="","","")</f>
        <v/>
      </c>
      <c r="X14" s="11">
        <f>IF($B14="","",0)</f>
        <v/>
      </c>
      <c r="Y14">
        <f>IF($B14="",0,IF(AND($R14=0,$E14&lt;&gt;"Dead Lead",ISNUMBER($J14),$J14&lt;=TODAY()+7),1,0))</f>
        <v/>
      </c>
      <c r="Z14">
        <f>IF($Y14=1,SUMPRODUCT(($Y$4:$Y$203=1)*(($J$4:$J$203&lt;$J14)+(($J$4:$J$203=$J14)*(ROW($J$4:$J$203)&lt;ROW($J14)))))+1,"")</f>
        <v/>
      </c>
      <c r="AA14" s="12">
        <f>IF($B14="","","")</f>
        <v/>
      </c>
      <c r="AB14" s="11">
        <f>IF($B14="","",0)</f>
        <v/>
      </c>
      <c r="AC14" s="11" t="n"/>
      <c r="AD14">
        <f>IF($E14="","",IF($E14="VIP Transferred",IF($AA14="","",IF(N($AB14)&gt;=3,"N/A - Closed",$AA14+CHOOSE(N($AB14)+1,1,2,3))),IF($I14="","",IF(VLOOKUP($E14,Lists!$C$2:$E$20,3,FALSE)="CLOSED","N/A - Closed",$I14+VLOOKUP($E14,Lists!$C$2:$E$20,3,FALSE)))))</f>
        <v/>
      </c>
      <c r="AE14">
        <f>IF(AND($AC14="Yes",$W14&lt;&gt;"",N($X14)&lt;3),$W14+CHOOSE(N($X14)+1,1,7,14),"")</f>
        <v/>
      </c>
      <c r="AF14" s="12">
        <f>IF($B14="","","")</f>
        <v/>
      </c>
    </row>
    <row r="15">
      <c r="A15" s="11">
        <f>IF($B15="","","YU-"&amp;TEXT(ROW()-3,"0000"))</f>
        <v/>
      </c>
      <c r="B15" s="11" t="n"/>
      <c r="C15" s="11" t="inlineStr">
        <is>
          <t>Discord</t>
        </is>
      </c>
      <c r="D15" s="11" t="n"/>
      <c r="E15" s="11" t="n"/>
      <c r="F15" s="11">
        <f>IF($E15="","",IF($E15="Dead Lead","Black",IF(IF(ISNUMBER($J15),TODAY()-$J15&gt;3,FALSE),"Red",IF($E15="Reactivation Queue","Red",IF(OR($E15="First Deposit",$E15="Active"),"Green","Yellow")))))</f>
        <v/>
      </c>
      <c r="G15" s="11">
        <f>IF($F15="","",IF($F15="Red",1,IF($F15="Yellow",2,IF($F15="Green",3,4))))</f>
        <v/>
      </c>
      <c r="H15" s="14" t="n"/>
      <c r="I15" s="14" t="n"/>
      <c r="J15" s="12">
        <f>IF($E15="","",IF(AND(ISNUMBER($AD15),ISNUMBER($AE15)),MIN($AD15,$AE15),IF(ISNUMBER($AE15),$AE15,$AD15)))</f>
        <v/>
      </c>
      <c r="K15" s="11">
        <f>IF($E15="","",IF($E15="VIP Transferred",IF(N($AB15)&gt;=3,"Should be Dead Lead (3 attempts, still no deposit) - will auto-update","Day "&amp;CHOOSE(N($AB15)+1,1,2,3)&amp;" URGENT VIP check-in - help them finish KYC and lock in first deposit"),IF(AND($D15="",$E15&lt;&gt;"Dead Lead"),IF(N($T15)&gt;=3,"READY FOR DEAD LEAD (3 attempts, still no sign-up)","GET ROOBET SIGN-UP - "&amp;IFERROR(VLOOKUP($E15,Lists!$C$2:$E$20,2,FALSE),"")),IFERROR(VLOOKUP($E15,Lists!$C$2:$E$20,2,FALSE),""))))&amp;IF($AC15="Yes",IF(N($X15)&gt;=3," | VIP Team checkpoints complete - no more automatic check-ins"," | Day "&amp;CHOOSE(N($X15)+1,1,7,14)&amp;" VIP Team check-in - confirm active/depositing"),"")</f>
        <v/>
      </c>
      <c r="L15" s="11" t="n"/>
      <c r="M15" s="11" t="n"/>
      <c r="N15" s="15" t="n"/>
      <c r="O15" s="11">
        <f>IF($E15="","",IF(AND($E15="Active",$F15="Green"),"Yes","No"))</f>
        <v/>
      </c>
      <c r="P15" s="11" t="n"/>
      <c r="Q15">
        <f>IF($I15="","",ROUND(TODAY()-$I15,0))</f>
        <v/>
      </c>
      <c r="R15">
        <f>IF($B15="",0,IF(OR(AND(ISNUMBER($J15),$J15&lt;=TODAY(),$E15&lt;&gt;"Dead Lead"),AND($D15="",$E15&lt;&gt;"",$E15&lt;&gt;"Dead Lead",OR($I15="",$I15&lt;TODAY()))),1,0))</f>
        <v/>
      </c>
      <c r="S15">
        <f>IF($R15=1,SUMPRODUCT(($R$4:$R$203=1)*(($Q$4:$Q$203&gt;$Q15)+(($Q$4:$Q$203=$Q15)*(ROW($Q$4:$Q$203)&lt;ROW($Q15)))))+1,"")</f>
        <v/>
      </c>
      <c r="T15" s="11">
        <f>IF($B15="","",0)</f>
        <v/>
      </c>
      <c r="U15">
        <f>IF($B15="",0,IF($E15="Dead Lead",1,0))</f>
        <v/>
      </c>
      <c r="V15">
        <f>IF($U15=1,SUMPRODUCT(($U$4:$U$203=1)*(($J$4:$J$203&lt;$J15)+(($J$4:$J$203=$J15)*(ROW($J$4:$J$203)&lt;ROW($J15)))))+1,"")</f>
        <v/>
      </c>
      <c r="W15" s="12">
        <f>IF($B15="","","")</f>
        <v/>
      </c>
      <c r="X15" s="11">
        <f>IF($B15="","",0)</f>
        <v/>
      </c>
      <c r="Y15">
        <f>IF($B15="",0,IF(AND($R15=0,$E15&lt;&gt;"Dead Lead",ISNUMBER($J15),$J15&lt;=TODAY()+7),1,0))</f>
        <v/>
      </c>
      <c r="Z15">
        <f>IF($Y15=1,SUMPRODUCT(($Y$4:$Y$203=1)*(($J$4:$J$203&lt;$J15)+(($J$4:$J$203=$J15)*(ROW($J$4:$J$203)&lt;ROW($J15)))))+1,"")</f>
        <v/>
      </c>
      <c r="AA15" s="12">
        <f>IF($B15="","","")</f>
        <v/>
      </c>
      <c r="AB15" s="11">
        <f>IF($B15="","",0)</f>
        <v/>
      </c>
      <c r="AC15" s="11" t="n"/>
      <c r="AD15">
        <f>IF($E15="","",IF($E15="VIP Transferred",IF($AA15="","",IF(N($AB15)&gt;=3,"N/A - Closed",$AA15+CHOOSE(N($AB15)+1,1,2,3))),IF($I15="","",IF(VLOOKUP($E15,Lists!$C$2:$E$20,3,FALSE)="CLOSED","N/A - Closed",$I15+VLOOKUP($E15,Lists!$C$2:$E$20,3,FALSE)))))</f>
        <v/>
      </c>
      <c r="AE15">
        <f>IF(AND($AC15="Yes",$W15&lt;&gt;"",N($X15)&lt;3),$W15+CHOOSE(N($X15)+1,1,7,14),"")</f>
        <v/>
      </c>
      <c r="AF15" s="12">
        <f>IF($B15="","","")</f>
        <v/>
      </c>
    </row>
    <row r="16">
      <c r="A16" s="11">
        <f>IF($B16="","","YU-"&amp;TEXT(ROW()-3,"0000"))</f>
        <v/>
      </c>
      <c r="B16" s="11" t="n"/>
      <c r="C16" s="11" t="inlineStr">
        <is>
          <t>Discord</t>
        </is>
      </c>
      <c r="D16" s="11" t="n"/>
      <c r="E16" s="11" t="n"/>
      <c r="F16" s="11">
        <f>IF($E16="","",IF($E16="Dead Lead","Black",IF(IF(ISNUMBER($J16),TODAY()-$J16&gt;3,FALSE),"Red",IF($E16="Reactivation Queue","Red",IF(OR($E16="First Deposit",$E16="Active"),"Green","Yellow")))))</f>
        <v/>
      </c>
      <c r="G16" s="11">
        <f>IF($F16="","",IF($F16="Red",1,IF($F16="Yellow",2,IF($F16="Green",3,4))))</f>
        <v/>
      </c>
      <c r="H16" s="14" t="n"/>
      <c r="I16" s="14" t="n"/>
      <c r="J16" s="12">
        <f>IF($E16="","",IF(AND(ISNUMBER($AD16),ISNUMBER($AE16)),MIN($AD16,$AE16),IF(ISNUMBER($AE16),$AE16,$AD16)))</f>
        <v/>
      </c>
      <c r="K16" s="11">
        <f>IF($E16="","",IF($E16="VIP Transferred",IF(N($AB16)&gt;=3,"Should be Dead Lead (3 attempts, still no deposit) - will auto-update","Day "&amp;CHOOSE(N($AB16)+1,1,2,3)&amp;" URGENT VIP check-in - help them finish KYC and lock in first deposit"),IF(AND($D16="",$E16&lt;&gt;"Dead Lead"),IF(N($T16)&gt;=3,"READY FOR DEAD LEAD (3 attempts, still no sign-up)","GET ROOBET SIGN-UP - "&amp;IFERROR(VLOOKUP($E16,Lists!$C$2:$E$20,2,FALSE),"")),IFERROR(VLOOKUP($E16,Lists!$C$2:$E$20,2,FALSE),""))))&amp;IF($AC16="Yes",IF(N($X16)&gt;=3," | VIP Team checkpoints complete - no more automatic check-ins"," | Day "&amp;CHOOSE(N($X16)+1,1,7,14)&amp;" VIP Team check-in - confirm active/depositing"),"")</f>
        <v/>
      </c>
      <c r="L16" s="11" t="n"/>
      <c r="M16" s="11" t="n"/>
      <c r="N16" s="15" t="n"/>
      <c r="O16" s="11">
        <f>IF($E16="","",IF(AND($E16="Active",$F16="Green"),"Yes","No"))</f>
        <v/>
      </c>
      <c r="P16" s="11" t="n"/>
      <c r="Q16">
        <f>IF($I16="","",ROUND(TODAY()-$I16,0))</f>
        <v/>
      </c>
      <c r="R16">
        <f>IF($B16="",0,IF(OR(AND(ISNUMBER($J16),$J16&lt;=TODAY(),$E16&lt;&gt;"Dead Lead"),AND($D16="",$E16&lt;&gt;"",$E16&lt;&gt;"Dead Lead",OR($I16="",$I16&lt;TODAY()))),1,0))</f>
        <v/>
      </c>
      <c r="S16">
        <f>IF($R16=1,SUMPRODUCT(($R$4:$R$203=1)*(($Q$4:$Q$203&gt;$Q16)+(($Q$4:$Q$203=$Q16)*(ROW($Q$4:$Q$203)&lt;ROW($Q16)))))+1,"")</f>
        <v/>
      </c>
      <c r="T16" s="11">
        <f>IF($B16="","",0)</f>
        <v/>
      </c>
      <c r="U16">
        <f>IF($B16="",0,IF($E16="Dead Lead",1,0))</f>
        <v/>
      </c>
      <c r="V16">
        <f>IF($U16=1,SUMPRODUCT(($U$4:$U$203=1)*(($J$4:$J$203&lt;$J16)+(($J$4:$J$203=$J16)*(ROW($J$4:$J$203)&lt;ROW($J16)))))+1,"")</f>
        <v/>
      </c>
      <c r="W16" s="12">
        <f>IF($B16="","","")</f>
        <v/>
      </c>
      <c r="X16" s="11">
        <f>IF($B16="","",0)</f>
        <v/>
      </c>
      <c r="Y16">
        <f>IF($B16="",0,IF(AND($R16=0,$E16&lt;&gt;"Dead Lead",ISNUMBER($J16),$J16&lt;=TODAY()+7),1,0))</f>
        <v/>
      </c>
      <c r="Z16">
        <f>IF($Y16=1,SUMPRODUCT(($Y$4:$Y$203=1)*(($J$4:$J$203&lt;$J16)+(($J$4:$J$203=$J16)*(ROW($J$4:$J$203)&lt;ROW($J16)))))+1,"")</f>
        <v/>
      </c>
      <c r="AA16" s="12">
        <f>IF($B16="","","")</f>
        <v/>
      </c>
      <c r="AB16" s="11">
        <f>IF($B16="","",0)</f>
        <v/>
      </c>
      <c r="AC16" s="11" t="n"/>
      <c r="AD16">
        <f>IF($E16="","",IF($E16="VIP Transferred",IF($AA16="","",IF(N($AB16)&gt;=3,"N/A - Closed",$AA16+CHOOSE(N($AB16)+1,1,2,3))),IF($I16="","",IF(VLOOKUP($E16,Lists!$C$2:$E$20,3,FALSE)="CLOSED","N/A - Closed",$I16+VLOOKUP($E16,Lists!$C$2:$E$20,3,FALSE)))))</f>
        <v/>
      </c>
      <c r="AE16">
        <f>IF(AND($AC16="Yes",$W16&lt;&gt;"",N($X16)&lt;3),$W16+CHOOSE(N($X16)+1,1,7,14),"")</f>
        <v/>
      </c>
      <c r="AF16" s="12">
        <f>IF($B16="","","")</f>
        <v/>
      </c>
    </row>
    <row r="17">
      <c r="A17" s="11">
        <f>IF($B17="","","YU-"&amp;TEXT(ROW()-3,"0000"))</f>
        <v/>
      </c>
      <c r="B17" s="11" t="n"/>
      <c r="C17" s="11" t="inlineStr">
        <is>
          <t>Discord</t>
        </is>
      </c>
      <c r="D17" s="11" t="n"/>
      <c r="E17" s="11" t="n"/>
      <c r="F17" s="11">
        <f>IF($E17="","",IF($E17="Dead Lead","Black",IF(IF(ISNUMBER($J17),TODAY()-$J17&gt;3,FALSE),"Red",IF($E17="Reactivation Queue","Red",IF(OR($E17="First Deposit",$E17="Active"),"Green","Yellow")))))</f>
        <v/>
      </c>
      <c r="G17" s="11">
        <f>IF($F17="","",IF($F17="Red",1,IF($F17="Yellow",2,IF($F17="Green",3,4))))</f>
        <v/>
      </c>
      <c r="H17" s="14" t="n"/>
      <c r="I17" s="14" t="n"/>
      <c r="J17" s="12">
        <f>IF($E17="","",IF(AND(ISNUMBER($AD17),ISNUMBER($AE17)),MIN($AD17,$AE17),IF(ISNUMBER($AE17),$AE17,$AD17)))</f>
        <v/>
      </c>
      <c r="K17" s="11">
        <f>IF($E17="","",IF($E17="VIP Transferred",IF(N($AB17)&gt;=3,"Should be Dead Lead (3 attempts, still no deposit) - will auto-update","Day "&amp;CHOOSE(N($AB17)+1,1,2,3)&amp;" URGENT VIP check-in - help them finish KYC and lock in first deposit"),IF(AND($D17="",$E17&lt;&gt;"Dead Lead"),IF(N($T17)&gt;=3,"READY FOR DEAD LEAD (3 attempts, still no sign-up)","GET ROOBET SIGN-UP - "&amp;IFERROR(VLOOKUP($E17,Lists!$C$2:$E$20,2,FALSE),"")),IFERROR(VLOOKUP($E17,Lists!$C$2:$E$20,2,FALSE),""))))&amp;IF($AC17="Yes",IF(N($X17)&gt;=3," | VIP Team checkpoints complete - no more automatic check-ins"," | Day "&amp;CHOOSE(N($X17)+1,1,7,14)&amp;" VIP Team check-in - confirm active/depositing"),"")</f>
        <v/>
      </c>
      <c r="L17" s="11" t="n"/>
      <c r="M17" s="11" t="n"/>
      <c r="N17" s="15" t="n"/>
      <c r="O17" s="11">
        <f>IF($E17="","",IF(AND($E17="Active",$F17="Green"),"Yes","No"))</f>
        <v/>
      </c>
      <c r="P17" s="11" t="n"/>
      <c r="Q17">
        <f>IF($I17="","",ROUND(TODAY()-$I17,0))</f>
        <v/>
      </c>
      <c r="R17">
        <f>IF($B17="",0,IF(OR(AND(ISNUMBER($J17),$J17&lt;=TODAY(),$E17&lt;&gt;"Dead Lead"),AND($D17="",$E17&lt;&gt;"",$E17&lt;&gt;"Dead Lead",OR($I17="",$I17&lt;TODAY()))),1,0))</f>
        <v/>
      </c>
      <c r="S17">
        <f>IF($R17=1,SUMPRODUCT(($R$4:$R$203=1)*(($Q$4:$Q$203&gt;$Q17)+(($Q$4:$Q$203=$Q17)*(ROW($Q$4:$Q$203)&lt;ROW($Q17)))))+1,"")</f>
        <v/>
      </c>
      <c r="T17" s="11">
        <f>IF($B17="","",0)</f>
        <v/>
      </c>
      <c r="U17">
        <f>IF($B17="",0,IF($E17="Dead Lead",1,0))</f>
        <v/>
      </c>
      <c r="V17">
        <f>IF($U17=1,SUMPRODUCT(($U$4:$U$203=1)*(($J$4:$J$203&lt;$J17)+(($J$4:$J$203=$J17)*(ROW($J$4:$J$203)&lt;ROW($J17)))))+1,"")</f>
        <v/>
      </c>
      <c r="W17" s="12">
        <f>IF($B17="","","")</f>
        <v/>
      </c>
      <c r="X17" s="11">
        <f>IF($B17="","",0)</f>
        <v/>
      </c>
      <c r="Y17">
        <f>IF($B17="",0,IF(AND($R17=0,$E17&lt;&gt;"Dead Lead",ISNUMBER($J17),$J17&lt;=TODAY()+7),1,0))</f>
        <v/>
      </c>
      <c r="Z17">
        <f>IF($Y17=1,SUMPRODUCT(($Y$4:$Y$203=1)*(($J$4:$J$203&lt;$J17)+(($J$4:$J$203=$J17)*(ROW($J$4:$J$203)&lt;ROW($J17)))))+1,"")</f>
        <v/>
      </c>
      <c r="AA17" s="12">
        <f>IF($B17="","","")</f>
        <v/>
      </c>
      <c r="AB17" s="11">
        <f>IF($B17="","",0)</f>
        <v/>
      </c>
      <c r="AC17" s="11" t="n"/>
      <c r="AD17">
        <f>IF($E17="","",IF($E17="VIP Transferred",IF($AA17="","",IF(N($AB17)&gt;=3,"N/A - Closed",$AA17+CHOOSE(N($AB17)+1,1,2,3))),IF($I17="","",IF(VLOOKUP($E17,Lists!$C$2:$E$20,3,FALSE)="CLOSED","N/A - Closed",$I17+VLOOKUP($E17,Lists!$C$2:$E$20,3,FALSE)))))</f>
        <v/>
      </c>
      <c r="AE17">
        <f>IF(AND($AC17="Yes",$W17&lt;&gt;"",N($X17)&lt;3),$W17+CHOOSE(N($X17)+1,1,7,14),"")</f>
        <v/>
      </c>
      <c r="AF17" s="12">
        <f>IF($B17="","","")</f>
        <v/>
      </c>
    </row>
    <row r="18">
      <c r="A18" s="11">
        <f>IF($B18="","","YU-"&amp;TEXT(ROW()-3,"0000"))</f>
        <v/>
      </c>
      <c r="B18" s="11" t="n"/>
      <c r="C18" s="11" t="inlineStr">
        <is>
          <t>Discord</t>
        </is>
      </c>
      <c r="D18" s="11" t="n"/>
      <c r="E18" s="11" t="n"/>
      <c r="F18" s="11">
        <f>IF($E18="","",IF($E18="Dead Lead","Black",IF(IF(ISNUMBER($J18),TODAY()-$J18&gt;3,FALSE),"Red",IF($E18="Reactivation Queue","Red",IF(OR($E18="First Deposit",$E18="Active"),"Green","Yellow")))))</f>
        <v/>
      </c>
      <c r="G18" s="11">
        <f>IF($F18="","",IF($F18="Red",1,IF($F18="Yellow",2,IF($F18="Green",3,4))))</f>
        <v/>
      </c>
      <c r="H18" s="14" t="n"/>
      <c r="I18" s="14" t="n"/>
      <c r="J18" s="12">
        <f>IF($E18="","",IF(AND(ISNUMBER($AD18),ISNUMBER($AE18)),MIN($AD18,$AE18),IF(ISNUMBER($AE18),$AE18,$AD18)))</f>
        <v/>
      </c>
      <c r="K18" s="11">
        <f>IF($E18="","",IF($E18="VIP Transferred",IF(N($AB18)&gt;=3,"Should be Dead Lead (3 attempts, still no deposit) - will auto-update","Day "&amp;CHOOSE(N($AB18)+1,1,2,3)&amp;" URGENT VIP check-in - help them finish KYC and lock in first deposit"),IF(AND($D18="",$E18&lt;&gt;"Dead Lead"),IF(N($T18)&gt;=3,"READY FOR DEAD LEAD (3 attempts, still no sign-up)","GET ROOBET SIGN-UP - "&amp;IFERROR(VLOOKUP($E18,Lists!$C$2:$E$20,2,FALSE),"")),IFERROR(VLOOKUP($E18,Lists!$C$2:$E$20,2,FALSE),""))))&amp;IF($AC18="Yes",IF(N($X18)&gt;=3," | VIP Team checkpoints complete - no more automatic check-ins"," | Day "&amp;CHOOSE(N($X18)+1,1,7,14)&amp;" VIP Team check-in - confirm active/depositing"),"")</f>
        <v/>
      </c>
      <c r="L18" s="11" t="n"/>
      <c r="M18" s="11" t="n"/>
      <c r="N18" s="15" t="n"/>
      <c r="O18" s="11">
        <f>IF($E18="","",IF(AND($E18="Active",$F18="Green"),"Yes","No"))</f>
        <v/>
      </c>
      <c r="P18" s="11" t="n"/>
      <c r="Q18">
        <f>IF($I18="","",ROUND(TODAY()-$I18,0))</f>
        <v/>
      </c>
      <c r="R18">
        <f>IF($B18="",0,IF(OR(AND(ISNUMBER($J18),$J18&lt;=TODAY(),$E18&lt;&gt;"Dead Lead"),AND($D18="",$E18&lt;&gt;"",$E18&lt;&gt;"Dead Lead",OR($I18="",$I18&lt;TODAY()))),1,0))</f>
        <v/>
      </c>
      <c r="S18">
        <f>IF($R18=1,SUMPRODUCT(($R$4:$R$203=1)*(($Q$4:$Q$203&gt;$Q18)+(($Q$4:$Q$203=$Q18)*(ROW($Q$4:$Q$203)&lt;ROW($Q18)))))+1,"")</f>
        <v/>
      </c>
      <c r="T18" s="11">
        <f>IF($B18="","",0)</f>
        <v/>
      </c>
      <c r="U18">
        <f>IF($B18="",0,IF($E18="Dead Lead",1,0))</f>
        <v/>
      </c>
      <c r="V18">
        <f>IF($U18=1,SUMPRODUCT(($U$4:$U$203=1)*(($J$4:$J$203&lt;$J18)+(($J$4:$J$203=$J18)*(ROW($J$4:$J$203)&lt;ROW($J18)))))+1,"")</f>
        <v/>
      </c>
      <c r="W18" s="12">
        <f>IF($B18="","","")</f>
        <v/>
      </c>
      <c r="X18" s="11">
        <f>IF($B18="","",0)</f>
        <v/>
      </c>
      <c r="Y18">
        <f>IF($B18="",0,IF(AND($R18=0,$E18&lt;&gt;"Dead Lead",ISNUMBER($J18),$J18&lt;=TODAY()+7),1,0))</f>
        <v/>
      </c>
      <c r="Z18">
        <f>IF($Y18=1,SUMPRODUCT(($Y$4:$Y$203=1)*(($J$4:$J$203&lt;$J18)+(($J$4:$J$203=$J18)*(ROW($J$4:$J$203)&lt;ROW($J18)))))+1,"")</f>
        <v/>
      </c>
      <c r="AA18" s="12">
        <f>IF($B18="","","")</f>
        <v/>
      </c>
      <c r="AB18" s="11">
        <f>IF($B18="","",0)</f>
        <v/>
      </c>
      <c r="AC18" s="11" t="n"/>
      <c r="AD18">
        <f>IF($E18="","",IF($E18="VIP Transferred",IF($AA18="","",IF(N($AB18)&gt;=3,"N/A - Closed",$AA18+CHOOSE(N($AB18)+1,1,2,3))),IF($I18="","",IF(VLOOKUP($E18,Lists!$C$2:$E$20,3,FALSE)="CLOSED","N/A - Closed",$I18+VLOOKUP($E18,Lists!$C$2:$E$20,3,FALSE)))))</f>
        <v/>
      </c>
      <c r="AE18">
        <f>IF(AND($AC18="Yes",$W18&lt;&gt;"",N($X18)&lt;3),$W18+CHOOSE(N($X18)+1,1,7,14),"")</f>
        <v/>
      </c>
      <c r="AF18" s="12">
        <f>IF($B18="","","")</f>
        <v/>
      </c>
    </row>
    <row r="19">
      <c r="A19" s="11">
        <f>IF($B19="","","YU-"&amp;TEXT(ROW()-3,"0000"))</f>
        <v/>
      </c>
      <c r="B19" s="11" t="n"/>
      <c r="C19" s="11" t="inlineStr">
        <is>
          <t>Discord</t>
        </is>
      </c>
      <c r="D19" s="11" t="n"/>
      <c r="E19" s="11" t="n"/>
      <c r="F19" s="11">
        <f>IF($E19="","",IF($E19="Dead Lead","Black",IF(IF(ISNUMBER($J19),TODAY()-$J19&gt;3,FALSE),"Red",IF($E19="Reactivation Queue","Red",IF(OR($E19="First Deposit",$E19="Active"),"Green","Yellow")))))</f>
        <v/>
      </c>
      <c r="G19" s="11">
        <f>IF($F19="","",IF($F19="Red",1,IF($F19="Yellow",2,IF($F19="Green",3,4))))</f>
        <v/>
      </c>
      <c r="H19" s="14" t="n"/>
      <c r="I19" s="14" t="n"/>
      <c r="J19" s="12">
        <f>IF($E19="","",IF(AND(ISNUMBER($AD19),ISNUMBER($AE19)),MIN($AD19,$AE19),IF(ISNUMBER($AE19),$AE19,$AD19)))</f>
        <v/>
      </c>
      <c r="K19" s="11">
        <f>IF($E19="","",IF($E19="VIP Transferred",IF(N($AB19)&gt;=3,"Should be Dead Lead (3 attempts, still no deposit) - will auto-update","Day "&amp;CHOOSE(N($AB19)+1,1,2,3)&amp;" URGENT VIP check-in - help them finish KYC and lock in first deposit"),IF(AND($D19="",$E19&lt;&gt;"Dead Lead"),IF(N($T19)&gt;=3,"READY FOR DEAD LEAD (3 attempts, still no sign-up)","GET ROOBET SIGN-UP - "&amp;IFERROR(VLOOKUP($E19,Lists!$C$2:$E$20,2,FALSE),"")),IFERROR(VLOOKUP($E19,Lists!$C$2:$E$20,2,FALSE),""))))&amp;IF($AC19="Yes",IF(N($X19)&gt;=3," | VIP Team checkpoints complete - no more automatic check-ins"," | Day "&amp;CHOOSE(N($X19)+1,1,7,14)&amp;" VIP Team check-in - confirm active/depositing"),"")</f>
        <v/>
      </c>
      <c r="L19" s="11" t="n"/>
      <c r="M19" s="11" t="n"/>
      <c r="N19" s="15" t="n"/>
      <c r="O19" s="11">
        <f>IF($E19="","",IF(AND($E19="Active",$F19="Green"),"Yes","No"))</f>
        <v/>
      </c>
      <c r="P19" s="11" t="n"/>
      <c r="Q19">
        <f>IF($I19="","",ROUND(TODAY()-$I19,0))</f>
        <v/>
      </c>
      <c r="R19">
        <f>IF($B19="",0,IF(OR(AND(ISNUMBER($J19),$J19&lt;=TODAY(),$E19&lt;&gt;"Dead Lead"),AND($D19="",$E19&lt;&gt;"",$E19&lt;&gt;"Dead Lead",OR($I19="",$I19&lt;TODAY()))),1,0))</f>
        <v/>
      </c>
      <c r="S19">
        <f>IF($R19=1,SUMPRODUCT(($R$4:$R$203=1)*(($Q$4:$Q$203&gt;$Q19)+(($Q$4:$Q$203=$Q19)*(ROW($Q$4:$Q$203)&lt;ROW($Q19)))))+1,"")</f>
        <v/>
      </c>
      <c r="T19" s="11">
        <f>IF($B19="","",0)</f>
        <v/>
      </c>
      <c r="U19">
        <f>IF($B19="",0,IF($E19="Dead Lead",1,0))</f>
        <v/>
      </c>
      <c r="V19">
        <f>IF($U19=1,SUMPRODUCT(($U$4:$U$203=1)*(($J$4:$J$203&lt;$J19)+(($J$4:$J$203=$J19)*(ROW($J$4:$J$203)&lt;ROW($J19)))))+1,"")</f>
        <v/>
      </c>
      <c r="W19" s="12">
        <f>IF($B19="","","")</f>
        <v/>
      </c>
      <c r="X19" s="11">
        <f>IF($B19="","",0)</f>
        <v/>
      </c>
      <c r="Y19">
        <f>IF($B19="",0,IF(AND($R19=0,$E19&lt;&gt;"Dead Lead",ISNUMBER($J19),$J19&lt;=TODAY()+7),1,0))</f>
        <v/>
      </c>
      <c r="Z19">
        <f>IF($Y19=1,SUMPRODUCT(($Y$4:$Y$203=1)*(($J$4:$J$203&lt;$J19)+(($J$4:$J$203=$J19)*(ROW($J$4:$J$203)&lt;ROW($J19)))))+1,"")</f>
        <v/>
      </c>
      <c r="AA19" s="12">
        <f>IF($B19="","","")</f>
        <v/>
      </c>
      <c r="AB19" s="11">
        <f>IF($B19="","",0)</f>
        <v/>
      </c>
      <c r="AC19" s="11" t="n"/>
      <c r="AD19">
        <f>IF($E19="","",IF($E19="VIP Transferred",IF($AA19="","",IF(N($AB19)&gt;=3,"N/A - Closed",$AA19+CHOOSE(N($AB19)+1,1,2,3))),IF($I19="","",IF(VLOOKUP($E19,Lists!$C$2:$E$20,3,FALSE)="CLOSED","N/A - Closed",$I19+VLOOKUP($E19,Lists!$C$2:$E$20,3,FALSE)))))</f>
        <v/>
      </c>
      <c r="AE19">
        <f>IF(AND($AC19="Yes",$W19&lt;&gt;"",N($X19)&lt;3),$W19+CHOOSE(N($X19)+1,1,7,14),"")</f>
        <v/>
      </c>
      <c r="AF19" s="12">
        <f>IF($B19="","","")</f>
        <v/>
      </c>
    </row>
    <row r="20">
      <c r="A20" s="11">
        <f>IF($B20="","","YU-"&amp;TEXT(ROW()-3,"0000"))</f>
        <v/>
      </c>
      <c r="B20" s="11" t="n"/>
      <c r="C20" s="11" t="inlineStr">
        <is>
          <t>Discord</t>
        </is>
      </c>
      <c r="D20" s="11" t="n"/>
      <c r="E20" s="11" t="n"/>
      <c r="F20" s="11">
        <f>IF($E20="","",IF($E20="Dead Lead","Black",IF(IF(ISNUMBER($J20),TODAY()-$J20&gt;3,FALSE),"Red",IF($E20="Reactivation Queue","Red",IF(OR($E20="First Deposit",$E20="Active"),"Green","Yellow")))))</f>
        <v/>
      </c>
      <c r="G20" s="11">
        <f>IF($F20="","",IF($F20="Red",1,IF($F20="Yellow",2,IF($F20="Green",3,4))))</f>
        <v/>
      </c>
      <c r="H20" s="14" t="n"/>
      <c r="I20" s="14" t="n"/>
      <c r="J20" s="12">
        <f>IF($E20="","",IF(AND(ISNUMBER($AD20),ISNUMBER($AE20)),MIN($AD20,$AE20),IF(ISNUMBER($AE20),$AE20,$AD20)))</f>
        <v/>
      </c>
      <c r="K20" s="11">
        <f>IF($E20="","",IF($E20="VIP Transferred",IF(N($AB20)&gt;=3,"Should be Dead Lead (3 attempts, still no deposit) - will auto-update","Day "&amp;CHOOSE(N($AB20)+1,1,2,3)&amp;" URGENT VIP check-in - help them finish KYC and lock in first deposit"),IF(AND($D20="",$E20&lt;&gt;"Dead Lead"),IF(N($T20)&gt;=3,"READY FOR DEAD LEAD (3 attempts, still no sign-up)","GET ROOBET SIGN-UP - "&amp;IFERROR(VLOOKUP($E20,Lists!$C$2:$E$20,2,FALSE),"")),IFERROR(VLOOKUP($E20,Lists!$C$2:$E$20,2,FALSE),""))))&amp;IF($AC20="Yes",IF(N($X20)&gt;=3," | VIP Team checkpoints complete - no more automatic check-ins"," | Day "&amp;CHOOSE(N($X20)+1,1,7,14)&amp;" VIP Team check-in - confirm active/depositing"),"")</f>
        <v/>
      </c>
      <c r="L20" s="11" t="n"/>
      <c r="M20" s="11" t="n"/>
      <c r="N20" s="15" t="n"/>
      <c r="O20" s="11">
        <f>IF($E20="","",IF(AND($E20="Active",$F20="Green"),"Yes","No"))</f>
        <v/>
      </c>
      <c r="P20" s="11" t="n"/>
      <c r="Q20">
        <f>IF($I20="","",ROUND(TODAY()-$I20,0))</f>
        <v/>
      </c>
      <c r="R20">
        <f>IF($B20="",0,IF(OR(AND(ISNUMBER($J20),$J20&lt;=TODAY(),$E20&lt;&gt;"Dead Lead"),AND($D20="",$E20&lt;&gt;"",$E20&lt;&gt;"Dead Lead",OR($I20="",$I20&lt;TODAY()))),1,0))</f>
        <v/>
      </c>
      <c r="S20">
        <f>IF($R20=1,SUMPRODUCT(($R$4:$R$203=1)*(($Q$4:$Q$203&gt;$Q20)+(($Q$4:$Q$203=$Q20)*(ROW($Q$4:$Q$203)&lt;ROW($Q20)))))+1,"")</f>
        <v/>
      </c>
      <c r="T20" s="11">
        <f>IF($B20="","",0)</f>
        <v/>
      </c>
      <c r="U20">
        <f>IF($B20="",0,IF($E20="Dead Lead",1,0))</f>
        <v/>
      </c>
      <c r="V20">
        <f>IF($U20=1,SUMPRODUCT(($U$4:$U$203=1)*(($J$4:$J$203&lt;$J20)+(($J$4:$J$203=$J20)*(ROW($J$4:$J$203)&lt;ROW($J20)))))+1,"")</f>
        <v/>
      </c>
      <c r="W20" s="12">
        <f>IF($B20="","","")</f>
        <v/>
      </c>
      <c r="X20" s="11">
        <f>IF($B20="","",0)</f>
        <v/>
      </c>
      <c r="Y20">
        <f>IF($B20="",0,IF(AND($R20=0,$E20&lt;&gt;"Dead Lead",ISNUMBER($J20),$J20&lt;=TODAY()+7),1,0))</f>
        <v/>
      </c>
      <c r="Z20">
        <f>IF($Y20=1,SUMPRODUCT(($Y$4:$Y$203=1)*(($J$4:$J$203&lt;$J20)+(($J$4:$J$203=$J20)*(ROW($J$4:$J$203)&lt;ROW($J20)))))+1,"")</f>
        <v/>
      </c>
      <c r="AA20" s="12">
        <f>IF($B20="","","")</f>
        <v/>
      </c>
      <c r="AB20" s="11">
        <f>IF($B20="","",0)</f>
        <v/>
      </c>
      <c r="AC20" s="11" t="n"/>
      <c r="AD20">
        <f>IF($E20="","",IF($E20="VIP Transferred",IF($AA20="","",IF(N($AB20)&gt;=3,"N/A - Closed",$AA20+CHOOSE(N($AB20)+1,1,2,3))),IF($I20="","",IF(VLOOKUP($E20,Lists!$C$2:$E$20,3,FALSE)="CLOSED","N/A - Closed",$I20+VLOOKUP($E20,Lists!$C$2:$E$20,3,FALSE)))))</f>
        <v/>
      </c>
      <c r="AE20">
        <f>IF(AND($AC20="Yes",$W20&lt;&gt;"",N($X20)&lt;3),$W20+CHOOSE(N($X20)+1,1,7,14),"")</f>
        <v/>
      </c>
      <c r="AF20" s="12">
        <f>IF($B20="","","")</f>
        <v/>
      </c>
    </row>
    <row r="21">
      <c r="A21" s="11">
        <f>IF($B21="","","YU-"&amp;TEXT(ROW()-3,"0000"))</f>
        <v/>
      </c>
      <c r="B21" s="11" t="n"/>
      <c r="C21" s="11" t="inlineStr">
        <is>
          <t>Discord</t>
        </is>
      </c>
      <c r="D21" s="11" t="n"/>
      <c r="E21" s="11" t="n"/>
      <c r="F21" s="11">
        <f>IF($E21="","",IF($E21="Dead Lead","Black",IF(IF(ISNUMBER($J21),TODAY()-$J21&gt;3,FALSE),"Red",IF($E21="Reactivation Queue","Red",IF(OR($E21="First Deposit",$E21="Active"),"Green","Yellow")))))</f>
        <v/>
      </c>
      <c r="G21" s="11">
        <f>IF($F21="","",IF($F21="Red",1,IF($F21="Yellow",2,IF($F21="Green",3,4))))</f>
        <v/>
      </c>
      <c r="H21" s="14" t="n"/>
      <c r="I21" s="14" t="n"/>
      <c r="J21" s="12">
        <f>IF($E21="","",IF(AND(ISNUMBER($AD21),ISNUMBER($AE21)),MIN($AD21,$AE21),IF(ISNUMBER($AE21),$AE21,$AD21)))</f>
        <v/>
      </c>
      <c r="K21" s="11">
        <f>IF($E21="","",IF($E21="VIP Transferred",IF(N($AB21)&gt;=3,"Should be Dead Lead (3 attempts, still no deposit) - will auto-update","Day "&amp;CHOOSE(N($AB21)+1,1,2,3)&amp;" URGENT VIP check-in - help them finish KYC and lock in first deposit"),IF(AND($D21="",$E21&lt;&gt;"Dead Lead"),IF(N($T21)&gt;=3,"READY FOR DEAD LEAD (3 attempts, still no sign-up)","GET ROOBET SIGN-UP - "&amp;IFERROR(VLOOKUP($E21,Lists!$C$2:$E$20,2,FALSE),"")),IFERROR(VLOOKUP($E21,Lists!$C$2:$E$20,2,FALSE),""))))&amp;IF($AC21="Yes",IF(N($X21)&gt;=3," | VIP Team checkpoints complete - no more automatic check-ins"," | Day "&amp;CHOOSE(N($X21)+1,1,7,14)&amp;" VIP Team check-in - confirm active/depositing"),"")</f>
        <v/>
      </c>
      <c r="L21" s="11" t="n"/>
      <c r="M21" s="11" t="n"/>
      <c r="N21" s="15" t="n"/>
      <c r="O21" s="11">
        <f>IF($E21="","",IF(AND($E21="Active",$F21="Green"),"Yes","No"))</f>
        <v/>
      </c>
      <c r="P21" s="11" t="n"/>
      <c r="Q21">
        <f>IF($I21="","",ROUND(TODAY()-$I21,0))</f>
        <v/>
      </c>
      <c r="R21">
        <f>IF($B21="",0,IF(OR(AND(ISNUMBER($J21),$J21&lt;=TODAY(),$E21&lt;&gt;"Dead Lead"),AND($D21="",$E21&lt;&gt;"",$E21&lt;&gt;"Dead Lead",OR($I21="",$I21&lt;TODAY()))),1,0))</f>
        <v/>
      </c>
      <c r="S21">
        <f>IF($R21=1,SUMPRODUCT(($R$4:$R$203=1)*(($Q$4:$Q$203&gt;$Q21)+(($Q$4:$Q$203=$Q21)*(ROW($Q$4:$Q$203)&lt;ROW($Q21)))))+1,"")</f>
        <v/>
      </c>
      <c r="T21" s="11">
        <f>IF($B21="","",0)</f>
        <v/>
      </c>
      <c r="U21">
        <f>IF($B21="",0,IF($E21="Dead Lead",1,0))</f>
        <v/>
      </c>
      <c r="V21">
        <f>IF($U21=1,SUMPRODUCT(($U$4:$U$203=1)*(($J$4:$J$203&lt;$J21)+(($J$4:$J$203=$J21)*(ROW($J$4:$J$203)&lt;ROW($J21)))))+1,"")</f>
        <v/>
      </c>
      <c r="W21" s="12">
        <f>IF($B21="","","")</f>
        <v/>
      </c>
      <c r="X21" s="11">
        <f>IF($B21="","",0)</f>
        <v/>
      </c>
      <c r="Y21">
        <f>IF($B21="",0,IF(AND($R21=0,$E21&lt;&gt;"Dead Lead",ISNUMBER($J21),$J21&lt;=TODAY()+7),1,0))</f>
        <v/>
      </c>
      <c r="Z21">
        <f>IF($Y21=1,SUMPRODUCT(($Y$4:$Y$203=1)*(($J$4:$J$203&lt;$J21)+(($J$4:$J$203=$J21)*(ROW($J$4:$J$203)&lt;ROW($J21)))))+1,"")</f>
        <v/>
      </c>
      <c r="AA21" s="12">
        <f>IF($B21="","","")</f>
        <v/>
      </c>
      <c r="AB21" s="11">
        <f>IF($B21="","",0)</f>
        <v/>
      </c>
      <c r="AC21" s="11" t="n"/>
      <c r="AD21">
        <f>IF($E21="","",IF($E21="VIP Transferred",IF($AA21="","",IF(N($AB21)&gt;=3,"N/A - Closed",$AA21+CHOOSE(N($AB21)+1,1,2,3))),IF($I21="","",IF(VLOOKUP($E21,Lists!$C$2:$E$20,3,FALSE)="CLOSED","N/A - Closed",$I21+VLOOKUP($E21,Lists!$C$2:$E$20,3,FALSE)))))</f>
        <v/>
      </c>
      <c r="AE21">
        <f>IF(AND($AC21="Yes",$W21&lt;&gt;"",N($X21)&lt;3),$W21+CHOOSE(N($X21)+1,1,7,14),"")</f>
        <v/>
      </c>
      <c r="AF21" s="12">
        <f>IF($B21="","","")</f>
        <v/>
      </c>
    </row>
    <row r="22">
      <c r="A22" s="11">
        <f>IF($B22="","","YU-"&amp;TEXT(ROW()-3,"0000"))</f>
        <v/>
      </c>
      <c r="B22" s="11" t="n"/>
      <c r="C22" s="11" t="inlineStr">
        <is>
          <t>Discord</t>
        </is>
      </c>
      <c r="D22" s="11" t="n"/>
      <c r="E22" s="11" t="n"/>
      <c r="F22" s="11">
        <f>IF($E22="","",IF($E22="Dead Lead","Black",IF(IF(ISNUMBER($J22),TODAY()-$J22&gt;3,FALSE),"Red",IF($E22="Reactivation Queue","Red",IF(OR($E22="First Deposit",$E22="Active"),"Green","Yellow")))))</f>
        <v/>
      </c>
      <c r="G22" s="11">
        <f>IF($F22="","",IF($F22="Red",1,IF($F22="Yellow",2,IF($F22="Green",3,4))))</f>
        <v/>
      </c>
      <c r="H22" s="14" t="n"/>
      <c r="I22" s="14" t="n"/>
      <c r="J22" s="12">
        <f>IF($E22="","",IF(AND(ISNUMBER($AD22),ISNUMBER($AE22)),MIN($AD22,$AE22),IF(ISNUMBER($AE22),$AE22,$AD22)))</f>
        <v/>
      </c>
      <c r="K22" s="11">
        <f>IF($E22="","",IF($E22="VIP Transferred",IF(N($AB22)&gt;=3,"Should be Dead Lead (3 attempts, still no deposit) - will auto-update","Day "&amp;CHOOSE(N($AB22)+1,1,2,3)&amp;" URGENT VIP check-in - help them finish KYC and lock in first deposit"),IF(AND($D22="",$E22&lt;&gt;"Dead Lead"),IF(N($T22)&gt;=3,"READY FOR DEAD LEAD (3 attempts, still no sign-up)","GET ROOBET SIGN-UP - "&amp;IFERROR(VLOOKUP($E22,Lists!$C$2:$E$20,2,FALSE),"")),IFERROR(VLOOKUP($E22,Lists!$C$2:$E$20,2,FALSE),""))))&amp;IF($AC22="Yes",IF(N($X22)&gt;=3," | VIP Team checkpoints complete - no more automatic check-ins"," | Day "&amp;CHOOSE(N($X22)+1,1,7,14)&amp;" VIP Team check-in - confirm active/depositing"),"")</f>
        <v/>
      </c>
      <c r="L22" s="11" t="n"/>
      <c r="M22" s="11" t="n"/>
      <c r="N22" s="15" t="n"/>
      <c r="O22" s="11">
        <f>IF($E22="","",IF(AND($E22="Active",$F22="Green"),"Yes","No"))</f>
        <v/>
      </c>
      <c r="P22" s="11" t="n"/>
      <c r="Q22">
        <f>IF($I22="","",ROUND(TODAY()-$I22,0))</f>
        <v/>
      </c>
      <c r="R22">
        <f>IF($B22="",0,IF(OR(AND(ISNUMBER($J22),$J22&lt;=TODAY(),$E22&lt;&gt;"Dead Lead"),AND($D22="",$E22&lt;&gt;"",$E22&lt;&gt;"Dead Lead",OR($I22="",$I22&lt;TODAY()))),1,0))</f>
        <v/>
      </c>
      <c r="S22">
        <f>IF($R22=1,SUMPRODUCT(($R$4:$R$203=1)*(($Q$4:$Q$203&gt;$Q22)+(($Q$4:$Q$203=$Q22)*(ROW($Q$4:$Q$203)&lt;ROW($Q22)))))+1,"")</f>
        <v/>
      </c>
      <c r="T22" s="11">
        <f>IF($B22="","",0)</f>
        <v/>
      </c>
      <c r="U22">
        <f>IF($B22="",0,IF($E22="Dead Lead",1,0))</f>
        <v/>
      </c>
      <c r="V22">
        <f>IF($U22=1,SUMPRODUCT(($U$4:$U$203=1)*(($J$4:$J$203&lt;$J22)+(($J$4:$J$203=$J22)*(ROW($J$4:$J$203)&lt;ROW($J22)))))+1,"")</f>
        <v/>
      </c>
      <c r="W22" s="12">
        <f>IF($B22="","","")</f>
        <v/>
      </c>
      <c r="X22" s="11">
        <f>IF($B22="","",0)</f>
        <v/>
      </c>
      <c r="Y22">
        <f>IF($B22="",0,IF(AND($R22=0,$E22&lt;&gt;"Dead Lead",ISNUMBER($J22),$J22&lt;=TODAY()+7),1,0))</f>
        <v/>
      </c>
      <c r="Z22">
        <f>IF($Y22=1,SUMPRODUCT(($Y$4:$Y$203=1)*(($J$4:$J$203&lt;$J22)+(($J$4:$J$203=$J22)*(ROW($J$4:$J$203)&lt;ROW($J22)))))+1,"")</f>
        <v/>
      </c>
      <c r="AA22" s="12">
        <f>IF($B22="","","")</f>
        <v/>
      </c>
      <c r="AB22" s="11">
        <f>IF($B22="","",0)</f>
        <v/>
      </c>
      <c r="AC22" s="11" t="n"/>
      <c r="AD22">
        <f>IF($E22="","",IF($E22="VIP Transferred",IF($AA22="","",IF(N($AB22)&gt;=3,"N/A - Closed",$AA22+CHOOSE(N($AB22)+1,1,2,3))),IF($I22="","",IF(VLOOKUP($E22,Lists!$C$2:$E$20,3,FALSE)="CLOSED","N/A - Closed",$I22+VLOOKUP($E22,Lists!$C$2:$E$20,3,FALSE)))))</f>
        <v/>
      </c>
      <c r="AE22">
        <f>IF(AND($AC22="Yes",$W22&lt;&gt;"",N($X22)&lt;3),$W22+CHOOSE(N($X22)+1,1,7,14),"")</f>
        <v/>
      </c>
      <c r="AF22" s="12">
        <f>IF($B22="","","")</f>
        <v/>
      </c>
    </row>
    <row r="23">
      <c r="A23" s="11">
        <f>IF($B23="","","YU-"&amp;TEXT(ROW()-3,"0000"))</f>
        <v/>
      </c>
      <c r="B23" s="11" t="n"/>
      <c r="C23" s="11" t="inlineStr">
        <is>
          <t>Discord</t>
        </is>
      </c>
      <c r="D23" s="11" t="n"/>
      <c r="E23" s="11" t="n"/>
      <c r="F23" s="11">
        <f>IF($E23="","",IF($E23="Dead Lead","Black",IF(IF(ISNUMBER($J23),TODAY()-$J23&gt;3,FALSE),"Red",IF($E23="Reactivation Queue","Red",IF(OR($E23="First Deposit",$E23="Active"),"Green","Yellow")))))</f>
        <v/>
      </c>
      <c r="G23" s="11">
        <f>IF($F23="","",IF($F23="Red",1,IF($F23="Yellow",2,IF($F23="Green",3,4))))</f>
        <v/>
      </c>
      <c r="H23" s="14" t="n"/>
      <c r="I23" s="14" t="n"/>
      <c r="J23" s="12">
        <f>IF($E23="","",IF(AND(ISNUMBER($AD23),ISNUMBER($AE23)),MIN($AD23,$AE23),IF(ISNUMBER($AE23),$AE23,$AD23)))</f>
        <v/>
      </c>
      <c r="K23" s="11">
        <f>IF($E23="","",IF($E23="VIP Transferred",IF(N($AB23)&gt;=3,"Should be Dead Lead (3 attempts, still no deposit) - will auto-update","Day "&amp;CHOOSE(N($AB23)+1,1,2,3)&amp;" URGENT VIP check-in - help them finish KYC and lock in first deposit"),IF(AND($D23="",$E23&lt;&gt;"Dead Lead"),IF(N($T23)&gt;=3,"READY FOR DEAD LEAD (3 attempts, still no sign-up)","GET ROOBET SIGN-UP - "&amp;IFERROR(VLOOKUP($E23,Lists!$C$2:$E$20,2,FALSE),"")),IFERROR(VLOOKUP($E23,Lists!$C$2:$E$20,2,FALSE),""))))&amp;IF($AC23="Yes",IF(N($X23)&gt;=3," | VIP Team checkpoints complete - no more automatic check-ins"," | Day "&amp;CHOOSE(N($X23)+1,1,7,14)&amp;" VIP Team check-in - confirm active/depositing"),"")</f>
        <v/>
      </c>
      <c r="L23" s="11" t="n"/>
      <c r="M23" s="11" t="n"/>
      <c r="N23" s="15" t="n"/>
      <c r="O23" s="11">
        <f>IF($E23="","",IF(AND($E23="Active",$F23="Green"),"Yes","No"))</f>
        <v/>
      </c>
      <c r="P23" s="11" t="n"/>
      <c r="Q23">
        <f>IF($I23="","",ROUND(TODAY()-$I23,0))</f>
        <v/>
      </c>
      <c r="R23">
        <f>IF($B23="",0,IF(OR(AND(ISNUMBER($J23),$J23&lt;=TODAY(),$E23&lt;&gt;"Dead Lead"),AND($D23="",$E23&lt;&gt;"",$E23&lt;&gt;"Dead Lead",OR($I23="",$I23&lt;TODAY()))),1,0))</f>
        <v/>
      </c>
      <c r="S23">
        <f>IF($R23=1,SUMPRODUCT(($R$4:$R$203=1)*(($Q$4:$Q$203&gt;$Q23)+(($Q$4:$Q$203=$Q23)*(ROW($Q$4:$Q$203)&lt;ROW($Q23)))))+1,"")</f>
        <v/>
      </c>
      <c r="T23" s="11">
        <f>IF($B23="","",0)</f>
        <v/>
      </c>
      <c r="U23">
        <f>IF($B23="",0,IF($E23="Dead Lead",1,0))</f>
        <v/>
      </c>
      <c r="V23">
        <f>IF($U23=1,SUMPRODUCT(($U$4:$U$203=1)*(($J$4:$J$203&lt;$J23)+(($J$4:$J$203=$J23)*(ROW($J$4:$J$203)&lt;ROW($J23)))))+1,"")</f>
        <v/>
      </c>
      <c r="W23" s="12">
        <f>IF($B23="","","")</f>
        <v/>
      </c>
      <c r="X23" s="11">
        <f>IF($B23="","",0)</f>
        <v/>
      </c>
      <c r="Y23">
        <f>IF($B23="",0,IF(AND($R23=0,$E23&lt;&gt;"Dead Lead",ISNUMBER($J23),$J23&lt;=TODAY()+7),1,0))</f>
        <v/>
      </c>
      <c r="Z23">
        <f>IF($Y23=1,SUMPRODUCT(($Y$4:$Y$203=1)*(($J$4:$J$203&lt;$J23)+(($J$4:$J$203=$J23)*(ROW($J$4:$J$203)&lt;ROW($J23)))))+1,"")</f>
        <v/>
      </c>
      <c r="AA23" s="12">
        <f>IF($B23="","","")</f>
        <v/>
      </c>
      <c r="AB23" s="11">
        <f>IF($B23="","",0)</f>
        <v/>
      </c>
      <c r="AC23" s="11" t="n"/>
      <c r="AD23">
        <f>IF($E23="","",IF($E23="VIP Transferred",IF($AA23="","",IF(N($AB23)&gt;=3,"N/A - Closed",$AA23+CHOOSE(N($AB23)+1,1,2,3))),IF($I23="","",IF(VLOOKUP($E23,Lists!$C$2:$E$20,3,FALSE)="CLOSED","N/A - Closed",$I23+VLOOKUP($E23,Lists!$C$2:$E$20,3,FALSE)))))</f>
        <v/>
      </c>
      <c r="AE23">
        <f>IF(AND($AC23="Yes",$W23&lt;&gt;"",N($X23)&lt;3),$W23+CHOOSE(N($X23)+1,1,7,14),"")</f>
        <v/>
      </c>
      <c r="AF23" s="12">
        <f>IF($B23="","","")</f>
        <v/>
      </c>
    </row>
    <row r="24">
      <c r="A24" s="11">
        <f>IF($B24="","","YU-"&amp;TEXT(ROW()-3,"0000"))</f>
        <v/>
      </c>
      <c r="B24" s="11" t="n"/>
      <c r="C24" s="11" t="inlineStr">
        <is>
          <t>Discord</t>
        </is>
      </c>
      <c r="D24" s="11" t="n"/>
      <c r="E24" s="11" t="n"/>
      <c r="F24" s="11">
        <f>IF($E24="","",IF($E24="Dead Lead","Black",IF(IF(ISNUMBER($J24),TODAY()-$J24&gt;3,FALSE),"Red",IF($E24="Reactivation Queue","Red",IF(OR($E24="First Deposit",$E24="Active"),"Green","Yellow")))))</f>
        <v/>
      </c>
      <c r="G24" s="11">
        <f>IF($F24="","",IF($F24="Red",1,IF($F24="Yellow",2,IF($F24="Green",3,4))))</f>
        <v/>
      </c>
      <c r="H24" s="14" t="n"/>
      <c r="I24" s="14" t="n"/>
      <c r="J24" s="12">
        <f>IF($E24="","",IF(AND(ISNUMBER($AD24),ISNUMBER($AE24)),MIN($AD24,$AE24),IF(ISNUMBER($AE24),$AE24,$AD24)))</f>
        <v/>
      </c>
      <c r="K24" s="11">
        <f>IF($E24="","",IF($E24="VIP Transferred",IF(N($AB24)&gt;=3,"Should be Dead Lead (3 attempts, still no deposit) - will auto-update","Day "&amp;CHOOSE(N($AB24)+1,1,2,3)&amp;" URGENT VIP check-in - help them finish KYC and lock in first deposit"),IF(AND($D24="",$E24&lt;&gt;"Dead Lead"),IF(N($T24)&gt;=3,"READY FOR DEAD LEAD (3 attempts, still no sign-up)","GET ROOBET SIGN-UP - "&amp;IFERROR(VLOOKUP($E24,Lists!$C$2:$E$20,2,FALSE),"")),IFERROR(VLOOKUP($E24,Lists!$C$2:$E$20,2,FALSE),""))))&amp;IF($AC24="Yes",IF(N($X24)&gt;=3," | VIP Team checkpoints complete - no more automatic check-ins"," | Day "&amp;CHOOSE(N($X24)+1,1,7,14)&amp;" VIP Team check-in - confirm active/depositing"),"")</f>
        <v/>
      </c>
      <c r="L24" s="11" t="n"/>
      <c r="M24" s="11" t="n"/>
      <c r="N24" s="15" t="n"/>
      <c r="O24" s="11">
        <f>IF($E24="","",IF(AND($E24="Active",$F24="Green"),"Yes","No"))</f>
        <v/>
      </c>
      <c r="P24" s="11" t="n"/>
      <c r="Q24">
        <f>IF($I24="","",ROUND(TODAY()-$I24,0))</f>
        <v/>
      </c>
      <c r="R24">
        <f>IF($B24="",0,IF(OR(AND(ISNUMBER($J24),$J24&lt;=TODAY(),$E24&lt;&gt;"Dead Lead"),AND($D24="",$E24&lt;&gt;"",$E24&lt;&gt;"Dead Lead",OR($I24="",$I24&lt;TODAY()))),1,0))</f>
        <v/>
      </c>
      <c r="S24">
        <f>IF($R24=1,SUMPRODUCT(($R$4:$R$203=1)*(($Q$4:$Q$203&gt;$Q24)+(($Q$4:$Q$203=$Q24)*(ROW($Q$4:$Q$203)&lt;ROW($Q24)))))+1,"")</f>
        <v/>
      </c>
      <c r="T24" s="11">
        <f>IF($B24="","",0)</f>
        <v/>
      </c>
      <c r="U24">
        <f>IF($B24="",0,IF($E24="Dead Lead",1,0))</f>
        <v/>
      </c>
      <c r="V24">
        <f>IF($U24=1,SUMPRODUCT(($U$4:$U$203=1)*(($J$4:$J$203&lt;$J24)+(($J$4:$J$203=$J24)*(ROW($J$4:$J$203)&lt;ROW($J24)))))+1,"")</f>
        <v/>
      </c>
      <c r="W24" s="12">
        <f>IF($B24="","","")</f>
        <v/>
      </c>
      <c r="X24" s="11">
        <f>IF($B24="","",0)</f>
        <v/>
      </c>
      <c r="Y24">
        <f>IF($B24="",0,IF(AND($R24=0,$E24&lt;&gt;"Dead Lead",ISNUMBER($J24),$J24&lt;=TODAY()+7),1,0))</f>
        <v/>
      </c>
      <c r="Z24">
        <f>IF($Y24=1,SUMPRODUCT(($Y$4:$Y$203=1)*(($J$4:$J$203&lt;$J24)+(($J$4:$J$203=$J24)*(ROW($J$4:$J$203)&lt;ROW($J24)))))+1,"")</f>
        <v/>
      </c>
      <c r="AA24" s="12">
        <f>IF($B24="","","")</f>
        <v/>
      </c>
      <c r="AB24" s="11">
        <f>IF($B24="","",0)</f>
        <v/>
      </c>
      <c r="AC24" s="11" t="n"/>
      <c r="AD24">
        <f>IF($E24="","",IF($E24="VIP Transferred",IF($AA24="","",IF(N($AB24)&gt;=3,"N/A - Closed",$AA24+CHOOSE(N($AB24)+1,1,2,3))),IF($I24="","",IF(VLOOKUP($E24,Lists!$C$2:$E$20,3,FALSE)="CLOSED","N/A - Closed",$I24+VLOOKUP($E24,Lists!$C$2:$E$20,3,FALSE)))))</f>
        <v/>
      </c>
      <c r="AE24">
        <f>IF(AND($AC24="Yes",$W24&lt;&gt;"",N($X24)&lt;3),$W24+CHOOSE(N($X24)+1,1,7,14),"")</f>
        <v/>
      </c>
      <c r="AF24" s="12">
        <f>IF($B24="","","")</f>
        <v/>
      </c>
    </row>
    <row r="25">
      <c r="A25" s="11">
        <f>IF($B25="","","YU-"&amp;TEXT(ROW()-3,"0000"))</f>
        <v/>
      </c>
      <c r="B25" s="11" t="n"/>
      <c r="C25" s="11" t="inlineStr">
        <is>
          <t>Discord</t>
        </is>
      </c>
      <c r="D25" s="11" t="n"/>
      <c r="E25" s="11" t="n"/>
      <c r="F25" s="11">
        <f>IF($E25="","",IF($E25="Dead Lead","Black",IF(IF(ISNUMBER($J25),TODAY()-$J25&gt;3,FALSE),"Red",IF($E25="Reactivation Queue","Red",IF(OR($E25="First Deposit",$E25="Active"),"Green","Yellow")))))</f>
        <v/>
      </c>
      <c r="G25" s="11">
        <f>IF($F25="","",IF($F25="Red",1,IF($F25="Yellow",2,IF($F25="Green",3,4))))</f>
        <v/>
      </c>
      <c r="H25" s="14" t="n"/>
      <c r="I25" s="14" t="n"/>
      <c r="J25" s="12">
        <f>IF($E25="","",IF(AND(ISNUMBER($AD25),ISNUMBER($AE25)),MIN($AD25,$AE25),IF(ISNUMBER($AE25),$AE25,$AD25)))</f>
        <v/>
      </c>
      <c r="K25" s="11">
        <f>IF($E25="","",IF($E25="VIP Transferred",IF(N($AB25)&gt;=3,"Should be Dead Lead (3 attempts, still no deposit) - will auto-update","Day "&amp;CHOOSE(N($AB25)+1,1,2,3)&amp;" URGENT VIP check-in - help them finish KYC and lock in first deposit"),IF(AND($D25="",$E25&lt;&gt;"Dead Lead"),IF(N($T25)&gt;=3,"READY FOR DEAD LEAD (3 attempts, still no sign-up)","GET ROOBET SIGN-UP - "&amp;IFERROR(VLOOKUP($E25,Lists!$C$2:$E$20,2,FALSE),"")),IFERROR(VLOOKUP($E25,Lists!$C$2:$E$20,2,FALSE),""))))&amp;IF($AC25="Yes",IF(N($X25)&gt;=3," | VIP Team checkpoints complete - no more automatic check-ins"," | Day "&amp;CHOOSE(N($X25)+1,1,7,14)&amp;" VIP Team check-in - confirm active/depositing"),"")</f>
        <v/>
      </c>
      <c r="L25" s="11" t="n"/>
      <c r="M25" s="11" t="n"/>
      <c r="N25" s="15" t="n"/>
      <c r="O25" s="11">
        <f>IF($E25="","",IF(AND($E25="Active",$F25="Green"),"Yes","No"))</f>
        <v/>
      </c>
      <c r="P25" s="11" t="n"/>
      <c r="Q25">
        <f>IF($I25="","",ROUND(TODAY()-$I25,0))</f>
        <v/>
      </c>
      <c r="R25">
        <f>IF($B25="",0,IF(OR(AND(ISNUMBER($J25),$J25&lt;=TODAY(),$E25&lt;&gt;"Dead Lead"),AND($D25="",$E25&lt;&gt;"",$E25&lt;&gt;"Dead Lead",OR($I25="",$I25&lt;TODAY()))),1,0))</f>
        <v/>
      </c>
      <c r="S25">
        <f>IF($R25=1,SUMPRODUCT(($R$4:$R$203=1)*(($Q$4:$Q$203&gt;$Q25)+(($Q$4:$Q$203=$Q25)*(ROW($Q$4:$Q$203)&lt;ROW($Q25)))))+1,"")</f>
        <v/>
      </c>
      <c r="T25" s="11">
        <f>IF($B25="","",0)</f>
        <v/>
      </c>
      <c r="U25">
        <f>IF($B25="",0,IF($E25="Dead Lead",1,0))</f>
        <v/>
      </c>
      <c r="V25">
        <f>IF($U25=1,SUMPRODUCT(($U$4:$U$203=1)*(($J$4:$J$203&lt;$J25)+(($J$4:$J$203=$J25)*(ROW($J$4:$J$203)&lt;ROW($J25)))))+1,"")</f>
        <v/>
      </c>
      <c r="W25" s="12">
        <f>IF($B25="","","")</f>
        <v/>
      </c>
      <c r="X25" s="11">
        <f>IF($B25="","",0)</f>
        <v/>
      </c>
      <c r="Y25">
        <f>IF($B25="",0,IF(AND($R25=0,$E25&lt;&gt;"Dead Lead",ISNUMBER($J25),$J25&lt;=TODAY()+7),1,0))</f>
        <v/>
      </c>
      <c r="Z25">
        <f>IF($Y25=1,SUMPRODUCT(($Y$4:$Y$203=1)*(($J$4:$J$203&lt;$J25)+(($J$4:$J$203=$J25)*(ROW($J$4:$J$203)&lt;ROW($J25)))))+1,"")</f>
        <v/>
      </c>
      <c r="AA25" s="12">
        <f>IF($B25="","","")</f>
        <v/>
      </c>
      <c r="AB25" s="11">
        <f>IF($B25="","",0)</f>
        <v/>
      </c>
      <c r="AC25" s="11" t="n"/>
      <c r="AD25">
        <f>IF($E25="","",IF($E25="VIP Transferred",IF($AA25="","",IF(N($AB25)&gt;=3,"N/A - Closed",$AA25+CHOOSE(N($AB25)+1,1,2,3))),IF($I25="","",IF(VLOOKUP($E25,Lists!$C$2:$E$20,3,FALSE)="CLOSED","N/A - Closed",$I25+VLOOKUP($E25,Lists!$C$2:$E$20,3,FALSE)))))</f>
        <v/>
      </c>
      <c r="AE25">
        <f>IF(AND($AC25="Yes",$W25&lt;&gt;"",N($X25)&lt;3),$W25+CHOOSE(N($X25)+1,1,7,14),"")</f>
        <v/>
      </c>
      <c r="AF25" s="12">
        <f>IF($B25="","","")</f>
        <v/>
      </c>
    </row>
    <row r="26">
      <c r="A26" s="11">
        <f>IF($B26="","","YU-"&amp;TEXT(ROW()-3,"0000"))</f>
        <v/>
      </c>
      <c r="B26" s="11" t="n"/>
      <c r="C26" s="11" t="inlineStr">
        <is>
          <t>Discord</t>
        </is>
      </c>
      <c r="D26" s="11" t="n"/>
      <c r="E26" s="11" t="n"/>
      <c r="F26" s="11">
        <f>IF($E26="","",IF($E26="Dead Lead","Black",IF(IF(ISNUMBER($J26),TODAY()-$J26&gt;3,FALSE),"Red",IF($E26="Reactivation Queue","Red",IF(OR($E26="First Deposit",$E26="Active"),"Green","Yellow")))))</f>
        <v/>
      </c>
      <c r="G26" s="11">
        <f>IF($F26="","",IF($F26="Red",1,IF($F26="Yellow",2,IF($F26="Green",3,4))))</f>
        <v/>
      </c>
      <c r="H26" s="14" t="n"/>
      <c r="I26" s="14" t="n"/>
      <c r="J26" s="12">
        <f>IF($E26="","",IF(AND(ISNUMBER($AD26),ISNUMBER($AE26)),MIN($AD26,$AE26),IF(ISNUMBER($AE26),$AE26,$AD26)))</f>
        <v/>
      </c>
      <c r="K26" s="11">
        <f>IF($E26="","",IF($E26="VIP Transferred",IF(N($AB26)&gt;=3,"Should be Dead Lead (3 attempts, still no deposit) - will auto-update","Day "&amp;CHOOSE(N($AB26)+1,1,2,3)&amp;" URGENT VIP check-in - help them finish KYC and lock in first deposit"),IF(AND($D26="",$E26&lt;&gt;"Dead Lead"),IF(N($T26)&gt;=3,"READY FOR DEAD LEAD (3 attempts, still no sign-up)","GET ROOBET SIGN-UP - "&amp;IFERROR(VLOOKUP($E26,Lists!$C$2:$E$20,2,FALSE),"")),IFERROR(VLOOKUP($E26,Lists!$C$2:$E$20,2,FALSE),""))))&amp;IF($AC26="Yes",IF(N($X26)&gt;=3," | VIP Team checkpoints complete - no more automatic check-ins"," | Day "&amp;CHOOSE(N($X26)+1,1,7,14)&amp;" VIP Team check-in - confirm active/depositing"),"")</f>
        <v/>
      </c>
      <c r="L26" s="11" t="n"/>
      <c r="M26" s="11" t="n"/>
      <c r="N26" s="15" t="n"/>
      <c r="O26" s="11">
        <f>IF($E26="","",IF(AND($E26="Active",$F26="Green"),"Yes","No"))</f>
        <v/>
      </c>
      <c r="P26" s="11" t="n"/>
      <c r="Q26">
        <f>IF($I26="","",ROUND(TODAY()-$I26,0))</f>
        <v/>
      </c>
      <c r="R26">
        <f>IF($B26="",0,IF(OR(AND(ISNUMBER($J26),$J26&lt;=TODAY(),$E26&lt;&gt;"Dead Lead"),AND($D26="",$E26&lt;&gt;"",$E26&lt;&gt;"Dead Lead",OR($I26="",$I26&lt;TODAY()))),1,0))</f>
        <v/>
      </c>
      <c r="S26">
        <f>IF($R26=1,SUMPRODUCT(($R$4:$R$203=1)*(($Q$4:$Q$203&gt;$Q26)+(($Q$4:$Q$203=$Q26)*(ROW($Q$4:$Q$203)&lt;ROW($Q26)))))+1,"")</f>
        <v/>
      </c>
      <c r="T26" s="11">
        <f>IF($B26="","",0)</f>
        <v/>
      </c>
      <c r="U26">
        <f>IF($B26="",0,IF($E26="Dead Lead",1,0))</f>
        <v/>
      </c>
      <c r="V26">
        <f>IF($U26=1,SUMPRODUCT(($U$4:$U$203=1)*(($J$4:$J$203&lt;$J26)+(($J$4:$J$203=$J26)*(ROW($J$4:$J$203)&lt;ROW($J26)))))+1,"")</f>
        <v/>
      </c>
      <c r="W26" s="12">
        <f>IF($B26="","","")</f>
        <v/>
      </c>
      <c r="X26" s="11">
        <f>IF($B26="","",0)</f>
        <v/>
      </c>
      <c r="Y26">
        <f>IF($B26="",0,IF(AND($R26=0,$E26&lt;&gt;"Dead Lead",ISNUMBER($J26),$J26&lt;=TODAY()+7),1,0))</f>
        <v/>
      </c>
      <c r="Z26">
        <f>IF($Y26=1,SUMPRODUCT(($Y$4:$Y$203=1)*(($J$4:$J$203&lt;$J26)+(($J$4:$J$203=$J26)*(ROW($J$4:$J$203)&lt;ROW($J26)))))+1,"")</f>
        <v/>
      </c>
      <c r="AA26" s="12">
        <f>IF($B26="","","")</f>
        <v/>
      </c>
      <c r="AB26" s="11">
        <f>IF($B26="","",0)</f>
        <v/>
      </c>
      <c r="AC26" s="11" t="n"/>
      <c r="AD26">
        <f>IF($E26="","",IF($E26="VIP Transferred",IF($AA26="","",IF(N($AB26)&gt;=3,"N/A - Closed",$AA26+CHOOSE(N($AB26)+1,1,2,3))),IF($I26="","",IF(VLOOKUP($E26,Lists!$C$2:$E$20,3,FALSE)="CLOSED","N/A - Closed",$I26+VLOOKUP($E26,Lists!$C$2:$E$20,3,FALSE)))))</f>
        <v/>
      </c>
      <c r="AE26">
        <f>IF(AND($AC26="Yes",$W26&lt;&gt;"",N($X26)&lt;3),$W26+CHOOSE(N($X26)+1,1,7,14),"")</f>
        <v/>
      </c>
      <c r="AF26" s="12">
        <f>IF($B26="","","")</f>
        <v/>
      </c>
    </row>
    <row r="27">
      <c r="A27" s="11">
        <f>IF($B27="","","YU-"&amp;TEXT(ROW()-3,"0000"))</f>
        <v/>
      </c>
      <c r="B27" s="11" t="n"/>
      <c r="C27" s="11" t="inlineStr">
        <is>
          <t>Discord</t>
        </is>
      </c>
      <c r="D27" s="11" t="n"/>
      <c r="E27" s="11" t="n"/>
      <c r="F27" s="11">
        <f>IF($E27="","",IF($E27="Dead Lead","Black",IF(IF(ISNUMBER($J27),TODAY()-$J27&gt;3,FALSE),"Red",IF($E27="Reactivation Queue","Red",IF(OR($E27="First Deposit",$E27="Active"),"Green","Yellow")))))</f>
        <v/>
      </c>
      <c r="G27" s="11">
        <f>IF($F27="","",IF($F27="Red",1,IF($F27="Yellow",2,IF($F27="Green",3,4))))</f>
        <v/>
      </c>
      <c r="H27" s="14" t="n"/>
      <c r="I27" s="14" t="n"/>
      <c r="J27" s="12">
        <f>IF($E27="","",IF(AND(ISNUMBER($AD27),ISNUMBER($AE27)),MIN($AD27,$AE27),IF(ISNUMBER($AE27),$AE27,$AD27)))</f>
        <v/>
      </c>
      <c r="K27" s="11">
        <f>IF($E27="","",IF($E27="VIP Transferred",IF(N($AB27)&gt;=3,"Should be Dead Lead (3 attempts, still no deposit) - will auto-update","Day "&amp;CHOOSE(N($AB27)+1,1,2,3)&amp;" URGENT VIP check-in - help them finish KYC and lock in first deposit"),IF(AND($D27="",$E27&lt;&gt;"Dead Lead"),IF(N($T27)&gt;=3,"READY FOR DEAD LEAD (3 attempts, still no sign-up)","GET ROOBET SIGN-UP - "&amp;IFERROR(VLOOKUP($E27,Lists!$C$2:$E$20,2,FALSE),"")),IFERROR(VLOOKUP($E27,Lists!$C$2:$E$20,2,FALSE),""))))&amp;IF($AC27="Yes",IF(N($X27)&gt;=3," | VIP Team checkpoints complete - no more automatic check-ins"," | Day "&amp;CHOOSE(N($X27)+1,1,7,14)&amp;" VIP Team check-in - confirm active/depositing"),"")</f>
        <v/>
      </c>
      <c r="L27" s="11" t="n"/>
      <c r="M27" s="11" t="n"/>
      <c r="N27" s="15" t="n"/>
      <c r="O27" s="11">
        <f>IF($E27="","",IF(AND($E27="Active",$F27="Green"),"Yes","No"))</f>
        <v/>
      </c>
      <c r="P27" s="11" t="n"/>
      <c r="Q27">
        <f>IF($I27="","",ROUND(TODAY()-$I27,0))</f>
        <v/>
      </c>
      <c r="R27">
        <f>IF($B27="",0,IF(OR(AND(ISNUMBER($J27),$J27&lt;=TODAY(),$E27&lt;&gt;"Dead Lead"),AND($D27="",$E27&lt;&gt;"",$E27&lt;&gt;"Dead Lead",OR($I27="",$I27&lt;TODAY()))),1,0))</f>
        <v/>
      </c>
      <c r="S27">
        <f>IF($R27=1,SUMPRODUCT(($R$4:$R$203=1)*(($Q$4:$Q$203&gt;$Q27)+(($Q$4:$Q$203=$Q27)*(ROW($Q$4:$Q$203)&lt;ROW($Q27)))))+1,"")</f>
        <v/>
      </c>
      <c r="T27" s="11">
        <f>IF($B27="","",0)</f>
        <v/>
      </c>
      <c r="U27">
        <f>IF($B27="",0,IF($E27="Dead Lead",1,0))</f>
        <v/>
      </c>
      <c r="V27">
        <f>IF($U27=1,SUMPRODUCT(($U$4:$U$203=1)*(($J$4:$J$203&lt;$J27)+(($J$4:$J$203=$J27)*(ROW($J$4:$J$203)&lt;ROW($J27)))))+1,"")</f>
        <v/>
      </c>
      <c r="W27" s="12">
        <f>IF($B27="","","")</f>
        <v/>
      </c>
      <c r="X27" s="11">
        <f>IF($B27="","",0)</f>
        <v/>
      </c>
      <c r="Y27">
        <f>IF($B27="",0,IF(AND($R27=0,$E27&lt;&gt;"Dead Lead",ISNUMBER($J27),$J27&lt;=TODAY()+7),1,0))</f>
        <v/>
      </c>
      <c r="Z27">
        <f>IF($Y27=1,SUMPRODUCT(($Y$4:$Y$203=1)*(($J$4:$J$203&lt;$J27)+(($J$4:$J$203=$J27)*(ROW($J$4:$J$203)&lt;ROW($J27)))))+1,"")</f>
        <v/>
      </c>
      <c r="AA27" s="12">
        <f>IF($B27="","","")</f>
        <v/>
      </c>
      <c r="AB27" s="11">
        <f>IF($B27="","",0)</f>
        <v/>
      </c>
      <c r="AC27" s="11" t="n"/>
      <c r="AD27">
        <f>IF($E27="","",IF($E27="VIP Transferred",IF($AA27="","",IF(N($AB27)&gt;=3,"N/A - Closed",$AA27+CHOOSE(N($AB27)+1,1,2,3))),IF($I27="","",IF(VLOOKUP($E27,Lists!$C$2:$E$20,3,FALSE)="CLOSED","N/A - Closed",$I27+VLOOKUP($E27,Lists!$C$2:$E$20,3,FALSE)))))</f>
        <v/>
      </c>
      <c r="AE27">
        <f>IF(AND($AC27="Yes",$W27&lt;&gt;"",N($X27)&lt;3),$W27+CHOOSE(N($X27)+1,1,7,14),"")</f>
        <v/>
      </c>
      <c r="AF27" s="12">
        <f>IF($B27="","","")</f>
        <v/>
      </c>
    </row>
    <row r="28">
      <c r="A28" s="11">
        <f>IF($B28="","","YU-"&amp;TEXT(ROW()-3,"0000"))</f>
        <v/>
      </c>
      <c r="B28" s="11" t="n"/>
      <c r="C28" s="11" t="inlineStr">
        <is>
          <t>Discord</t>
        </is>
      </c>
      <c r="D28" s="11" t="n"/>
      <c r="E28" s="11" t="n"/>
      <c r="F28" s="11">
        <f>IF($E28="","",IF($E28="Dead Lead","Black",IF(IF(ISNUMBER($J28),TODAY()-$J28&gt;3,FALSE),"Red",IF($E28="Reactivation Queue","Red",IF(OR($E28="First Deposit",$E28="Active"),"Green","Yellow")))))</f>
        <v/>
      </c>
      <c r="G28" s="11">
        <f>IF($F28="","",IF($F28="Red",1,IF($F28="Yellow",2,IF($F28="Green",3,4))))</f>
        <v/>
      </c>
      <c r="H28" s="14" t="n"/>
      <c r="I28" s="14" t="n"/>
      <c r="J28" s="12">
        <f>IF($E28="","",IF(AND(ISNUMBER($AD28),ISNUMBER($AE28)),MIN($AD28,$AE28),IF(ISNUMBER($AE28),$AE28,$AD28)))</f>
        <v/>
      </c>
      <c r="K28" s="11">
        <f>IF($E28="","",IF($E28="VIP Transferred",IF(N($AB28)&gt;=3,"Should be Dead Lead (3 attempts, still no deposit) - will auto-update","Day "&amp;CHOOSE(N($AB28)+1,1,2,3)&amp;" URGENT VIP check-in - help them finish KYC and lock in first deposit"),IF(AND($D28="",$E28&lt;&gt;"Dead Lead"),IF(N($T28)&gt;=3,"READY FOR DEAD LEAD (3 attempts, still no sign-up)","GET ROOBET SIGN-UP - "&amp;IFERROR(VLOOKUP($E28,Lists!$C$2:$E$20,2,FALSE),"")),IFERROR(VLOOKUP($E28,Lists!$C$2:$E$20,2,FALSE),""))))&amp;IF($AC28="Yes",IF(N($X28)&gt;=3," | VIP Team checkpoints complete - no more automatic check-ins"," | Day "&amp;CHOOSE(N($X28)+1,1,7,14)&amp;" VIP Team check-in - confirm active/depositing"),"")</f>
        <v/>
      </c>
      <c r="L28" s="11" t="n"/>
      <c r="M28" s="11" t="n"/>
      <c r="N28" s="15" t="n"/>
      <c r="O28" s="11">
        <f>IF($E28="","",IF(AND($E28="Active",$F28="Green"),"Yes","No"))</f>
        <v/>
      </c>
      <c r="P28" s="11" t="n"/>
      <c r="Q28">
        <f>IF($I28="","",ROUND(TODAY()-$I28,0))</f>
        <v/>
      </c>
      <c r="R28">
        <f>IF($B28="",0,IF(OR(AND(ISNUMBER($J28),$J28&lt;=TODAY(),$E28&lt;&gt;"Dead Lead"),AND($D28="",$E28&lt;&gt;"",$E28&lt;&gt;"Dead Lead",OR($I28="",$I28&lt;TODAY()))),1,0))</f>
        <v/>
      </c>
      <c r="S28">
        <f>IF($R28=1,SUMPRODUCT(($R$4:$R$203=1)*(($Q$4:$Q$203&gt;$Q28)+(($Q$4:$Q$203=$Q28)*(ROW($Q$4:$Q$203)&lt;ROW($Q28)))))+1,"")</f>
        <v/>
      </c>
      <c r="T28" s="11">
        <f>IF($B28="","",0)</f>
        <v/>
      </c>
      <c r="U28">
        <f>IF($B28="",0,IF($E28="Dead Lead",1,0))</f>
        <v/>
      </c>
      <c r="V28">
        <f>IF($U28=1,SUMPRODUCT(($U$4:$U$203=1)*(($J$4:$J$203&lt;$J28)+(($J$4:$J$203=$J28)*(ROW($J$4:$J$203)&lt;ROW($J28)))))+1,"")</f>
        <v/>
      </c>
      <c r="W28" s="12">
        <f>IF($B28="","","")</f>
        <v/>
      </c>
      <c r="X28" s="11">
        <f>IF($B28="","",0)</f>
        <v/>
      </c>
      <c r="Y28">
        <f>IF($B28="",0,IF(AND($R28=0,$E28&lt;&gt;"Dead Lead",ISNUMBER($J28),$J28&lt;=TODAY()+7),1,0))</f>
        <v/>
      </c>
      <c r="Z28">
        <f>IF($Y28=1,SUMPRODUCT(($Y$4:$Y$203=1)*(($J$4:$J$203&lt;$J28)+(($J$4:$J$203=$J28)*(ROW($J$4:$J$203)&lt;ROW($J28)))))+1,"")</f>
        <v/>
      </c>
      <c r="AA28" s="12">
        <f>IF($B28="","","")</f>
        <v/>
      </c>
      <c r="AB28" s="11">
        <f>IF($B28="","",0)</f>
        <v/>
      </c>
      <c r="AC28" s="11" t="n"/>
      <c r="AD28">
        <f>IF($E28="","",IF($E28="VIP Transferred",IF($AA28="","",IF(N($AB28)&gt;=3,"N/A - Closed",$AA28+CHOOSE(N($AB28)+1,1,2,3))),IF($I28="","",IF(VLOOKUP($E28,Lists!$C$2:$E$20,3,FALSE)="CLOSED","N/A - Closed",$I28+VLOOKUP($E28,Lists!$C$2:$E$20,3,FALSE)))))</f>
        <v/>
      </c>
      <c r="AE28">
        <f>IF(AND($AC28="Yes",$W28&lt;&gt;"",N($X28)&lt;3),$W28+CHOOSE(N($X28)+1,1,7,14),"")</f>
        <v/>
      </c>
      <c r="AF28" s="12">
        <f>IF($B28="","","")</f>
        <v/>
      </c>
    </row>
    <row r="29">
      <c r="A29" s="11">
        <f>IF($B29="","","YU-"&amp;TEXT(ROW()-3,"0000"))</f>
        <v/>
      </c>
      <c r="B29" s="11" t="n"/>
      <c r="C29" s="11" t="inlineStr">
        <is>
          <t>Discord</t>
        </is>
      </c>
      <c r="D29" s="11" t="n"/>
      <c r="E29" s="11" t="n"/>
      <c r="F29" s="11">
        <f>IF($E29="","",IF($E29="Dead Lead","Black",IF(IF(ISNUMBER($J29),TODAY()-$J29&gt;3,FALSE),"Red",IF($E29="Reactivation Queue","Red",IF(OR($E29="First Deposit",$E29="Active"),"Green","Yellow")))))</f>
        <v/>
      </c>
      <c r="G29" s="11">
        <f>IF($F29="","",IF($F29="Red",1,IF($F29="Yellow",2,IF($F29="Green",3,4))))</f>
        <v/>
      </c>
      <c r="H29" s="14" t="n"/>
      <c r="I29" s="14" t="n"/>
      <c r="J29" s="12">
        <f>IF($E29="","",IF(AND(ISNUMBER($AD29),ISNUMBER($AE29)),MIN($AD29,$AE29),IF(ISNUMBER($AE29),$AE29,$AD29)))</f>
        <v/>
      </c>
      <c r="K29" s="11">
        <f>IF($E29="","",IF($E29="VIP Transferred",IF(N($AB29)&gt;=3,"Should be Dead Lead (3 attempts, still no deposit) - will auto-update","Day "&amp;CHOOSE(N($AB29)+1,1,2,3)&amp;" URGENT VIP check-in - help them finish KYC and lock in first deposit"),IF(AND($D29="",$E29&lt;&gt;"Dead Lead"),IF(N($T29)&gt;=3,"READY FOR DEAD LEAD (3 attempts, still no sign-up)","GET ROOBET SIGN-UP - "&amp;IFERROR(VLOOKUP($E29,Lists!$C$2:$E$20,2,FALSE),"")),IFERROR(VLOOKUP($E29,Lists!$C$2:$E$20,2,FALSE),""))))&amp;IF($AC29="Yes",IF(N($X29)&gt;=3," | VIP Team checkpoints complete - no more automatic check-ins"," | Day "&amp;CHOOSE(N($X29)+1,1,7,14)&amp;" VIP Team check-in - confirm active/depositing"),"")</f>
        <v/>
      </c>
      <c r="L29" s="11" t="n"/>
      <c r="M29" s="11" t="n"/>
      <c r="N29" s="15" t="n"/>
      <c r="O29" s="11">
        <f>IF($E29="","",IF(AND($E29="Active",$F29="Green"),"Yes","No"))</f>
        <v/>
      </c>
      <c r="P29" s="11" t="n"/>
      <c r="Q29">
        <f>IF($I29="","",ROUND(TODAY()-$I29,0))</f>
        <v/>
      </c>
      <c r="R29">
        <f>IF($B29="",0,IF(OR(AND(ISNUMBER($J29),$J29&lt;=TODAY(),$E29&lt;&gt;"Dead Lead"),AND($D29="",$E29&lt;&gt;"",$E29&lt;&gt;"Dead Lead",OR($I29="",$I29&lt;TODAY()))),1,0))</f>
        <v/>
      </c>
      <c r="S29">
        <f>IF($R29=1,SUMPRODUCT(($R$4:$R$203=1)*(($Q$4:$Q$203&gt;$Q29)+(($Q$4:$Q$203=$Q29)*(ROW($Q$4:$Q$203)&lt;ROW($Q29)))))+1,"")</f>
        <v/>
      </c>
      <c r="T29" s="11">
        <f>IF($B29="","",0)</f>
        <v/>
      </c>
      <c r="U29">
        <f>IF($B29="",0,IF($E29="Dead Lead",1,0))</f>
        <v/>
      </c>
      <c r="V29">
        <f>IF($U29=1,SUMPRODUCT(($U$4:$U$203=1)*(($J$4:$J$203&lt;$J29)+(($J$4:$J$203=$J29)*(ROW($J$4:$J$203)&lt;ROW($J29)))))+1,"")</f>
        <v/>
      </c>
      <c r="W29" s="12">
        <f>IF($B29="","","")</f>
        <v/>
      </c>
      <c r="X29" s="11">
        <f>IF($B29="","",0)</f>
        <v/>
      </c>
      <c r="Y29">
        <f>IF($B29="",0,IF(AND($R29=0,$E29&lt;&gt;"Dead Lead",ISNUMBER($J29),$J29&lt;=TODAY()+7),1,0))</f>
        <v/>
      </c>
      <c r="Z29">
        <f>IF($Y29=1,SUMPRODUCT(($Y$4:$Y$203=1)*(($J$4:$J$203&lt;$J29)+(($J$4:$J$203=$J29)*(ROW($J$4:$J$203)&lt;ROW($J29)))))+1,"")</f>
        <v/>
      </c>
      <c r="AA29" s="12">
        <f>IF($B29="","","")</f>
        <v/>
      </c>
      <c r="AB29" s="11">
        <f>IF($B29="","",0)</f>
        <v/>
      </c>
      <c r="AC29" s="11" t="n"/>
      <c r="AD29">
        <f>IF($E29="","",IF($E29="VIP Transferred",IF($AA29="","",IF(N($AB29)&gt;=3,"N/A - Closed",$AA29+CHOOSE(N($AB29)+1,1,2,3))),IF($I29="","",IF(VLOOKUP($E29,Lists!$C$2:$E$20,3,FALSE)="CLOSED","N/A - Closed",$I29+VLOOKUP($E29,Lists!$C$2:$E$20,3,FALSE)))))</f>
        <v/>
      </c>
      <c r="AE29">
        <f>IF(AND($AC29="Yes",$W29&lt;&gt;"",N($X29)&lt;3),$W29+CHOOSE(N($X29)+1,1,7,14),"")</f>
        <v/>
      </c>
      <c r="AF29" s="12">
        <f>IF($B29="","","")</f>
        <v/>
      </c>
    </row>
    <row r="30">
      <c r="A30" s="11">
        <f>IF($B30="","","YU-"&amp;TEXT(ROW()-3,"0000"))</f>
        <v/>
      </c>
      <c r="B30" s="11" t="n"/>
      <c r="C30" s="11" t="inlineStr">
        <is>
          <t>Discord</t>
        </is>
      </c>
      <c r="D30" s="11" t="n"/>
      <c r="E30" s="11" t="n"/>
      <c r="F30" s="11">
        <f>IF($E30="","",IF($E30="Dead Lead","Black",IF(IF(ISNUMBER($J30),TODAY()-$J30&gt;3,FALSE),"Red",IF($E30="Reactivation Queue","Red",IF(OR($E30="First Deposit",$E30="Active"),"Green","Yellow")))))</f>
        <v/>
      </c>
      <c r="G30" s="11">
        <f>IF($F30="","",IF($F30="Red",1,IF($F30="Yellow",2,IF($F30="Green",3,4))))</f>
        <v/>
      </c>
      <c r="H30" s="14" t="n"/>
      <c r="I30" s="14" t="n"/>
      <c r="J30" s="12">
        <f>IF($E30="","",IF(AND(ISNUMBER($AD30),ISNUMBER($AE30)),MIN($AD30,$AE30),IF(ISNUMBER($AE30),$AE30,$AD30)))</f>
        <v/>
      </c>
      <c r="K30" s="11">
        <f>IF($E30="","",IF($E30="VIP Transferred",IF(N($AB30)&gt;=3,"Should be Dead Lead (3 attempts, still no deposit) - will auto-update","Day "&amp;CHOOSE(N($AB30)+1,1,2,3)&amp;" URGENT VIP check-in - help them finish KYC and lock in first deposit"),IF(AND($D30="",$E30&lt;&gt;"Dead Lead"),IF(N($T30)&gt;=3,"READY FOR DEAD LEAD (3 attempts, still no sign-up)","GET ROOBET SIGN-UP - "&amp;IFERROR(VLOOKUP($E30,Lists!$C$2:$E$20,2,FALSE),"")),IFERROR(VLOOKUP($E30,Lists!$C$2:$E$20,2,FALSE),""))))&amp;IF($AC30="Yes",IF(N($X30)&gt;=3," | VIP Team checkpoints complete - no more automatic check-ins"," | Day "&amp;CHOOSE(N($X30)+1,1,7,14)&amp;" VIP Team check-in - confirm active/depositing"),"")</f>
        <v/>
      </c>
      <c r="L30" s="11" t="n"/>
      <c r="M30" s="11" t="n"/>
      <c r="N30" s="15" t="n"/>
      <c r="O30" s="11">
        <f>IF($E30="","",IF(AND($E30="Active",$F30="Green"),"Yes","No"))</f>
        <v/>
      </c>
      <c r="P30" s="11" t="n"/>
      <c r="Q30">
        <f>IF($I30="","",ROUND(TODAY()-$I30,0))</f>
        <v/>
      </c>
      <c r="R30">
        <f>IF($B30="",0,IF(OR(AND(ISNUMBER($J30),$J30&lt;=TODAY(),$E30&lt;&gt;"Dead Lead"),AND($D30="",$E30&lt;&gt;"",$E30&lt;&gt;"Dead Lead",OR($I30="",$I30&lt;TODAY()))),1,0))</f>
        <v/>
      </c>
      <c r="S30">
        <f>IF($R30=1,SUMPRODUCT(($R$4:$R$203=1)*(($Q$4:$Q$203&gt;$Q30)+(($Q$4:$Q$203=$Q30)*(ROW($Q$4:$Q$203)&lt;ROW($Q30)))))+1,"")</f>
        <v/>
      </c>
      <c r="T30" s="11">
        <f>IF($B30="","",0)</f>
        <v/>
      </c>
      <c r="U30">
        <f>IF($B30="",0,IF($E30="Dead Lead",1,0))</f>
        <v/>
      </c>
      <c r="V30">
        <f>IF($U30=1,SUMPRODUCT(($U$4:$U$203=1)*(($J$4:$J$203&lt;$J30)+(($J$4:$J$203=$J30)*(ROW($J$4:$J$203)&lt;ROW($J30)))))+1,"")</f>
        <v/>
      </c>
      <c r="W30" s="12">
        <f>IF($B30="","","")</f>
        <v/>
      </c>
      <c r="X30" s="11">
        <f>IF($B30="","",0)</f>
        <v/>
      </c>
      <c r="Y30">
        <f>IF($B30="",0,IF(AND($R30=0,$E30&lt;&gt;"Dead Lead",ISNUMBER($J30),$J30&lt;=TODAY()+7),1,0))</f>
        <v/>
      </c>
      <c r="Z30">
        <f>IF($Y30=1,SUMPRODUCT(($Y$4:$Y$203=1)*(($J$4:$J$203&lt;$J30)+(($J$4:$J$203=$J30)*(ROW($J$4:$J$203)&lt;ROW($J30)))))+1,"")</f>
        <v/>
      </c>
      <c r="AA30" s="12">
        <f>IF($B30="","","")</f>
        <v/>
      </c>
      <c r="AB30" s="11">
        <f>IF($B30="","",0)</f>
        <v/>
      </c>
      <c r="AC30" s="11" t="n"/>
      <c r="AD30">
        <f>IF($E30="","",IF($E30="VIP Transferred",IF($AA30="","",IF(N($AB30)&gt;=3,"N/A - Closed",$AA30+CHOOSE(N($AB30)+1,1,2,3))),IF($I30="","",IF(VLOOKUP($E30,Lists!$C$2:$E$20,3,FALSE)="CLOSED","N/A - Closed",$I30+VLOOKUP($E30,Lists!$C$2:$E$20,3,FALSE)))))</f>
        <v/>
      </c>
      <c r="AE30">
        <f>IF(AND($AC30="Yes",$W30&lt;&gt;"",N($X30)&lt;3),$W30+CHOOSE(N($X30)+1,1,7,14),"")</f>
        <v/>
      </c>
      <c r="AF30" s="12">
        <f>IF($B30="","","")</f>
        <v/>
      </c>
    </row>
    <row r="31">
      <c r="A31" s="11">
        <f>IF($B31="","","YU-"&amp;TEXT(ROW()-3,"0000"))</f>
        <v/>
      </c>
      <c r="B31" s="11" t="n"/>
      <c r="C31" s="11" t="inlineStr">
        <is>
          <t>Discord</t>
        </is>
      </c>
      <c r="D31" s="11" t="n"/>
      <c r="E31" s="11" t="n"/>
      <c r="F31" s="11">
        <f>IF($E31="","",IF($E31="Dead Lead","Black",IF(IF(ISNUMBER($J31),TODAY()-$J31&gt;3,FALSE),"Red",IF($E31="Reactivation Queue","Red",IF(OR($E31="First Deposit",$E31="Active"),"Green","Yellow")))))</f>
        <v/>
      </c>
      <c r="G31" s="11">
        <f>IF($F31="","",IF($F31="Red",1,IF($F31="Yellow",2,IF($F31="Green",3,4))))</f>
        <v/>
      </c>
      <c r="H31" s="14" t="n"/>
      <c r="I31" s="14" t="n"/>
      <c r="J31" s="12">
        <f>IF($E31="","",IF(AND(ISNUMBER($AD31),ISNUMBER($AE31)),MIN($AD31,$AE31),IF(ISNUMBER($AE31),$AE31,$AD31)))</f>
        <v/>
      </c>
      <c r="K31" s="11">
        <f>IF($E31="","",IF($E31="VIP Transferred",IF(N($AB31)&gt;=3,"Should be Dead Lead (3 attempts, still no deposit) - will auto-update","Day "&amp;CHOOSE(N($AB31)+1,1,2,3)&amp;" URGENT VIP check-in - help them finish KYC and lock in first deposit"),IF(AND($D31="",$E31&lt;&gt;"Dead Lead"),IF(N($T31)&gt;=3,"READY FOR DEAD LEAD (3 attempts, still no sign-up)","GET ROOBET SIGN-UP - "&amp;IFERROR(VLOOKUP($E31,Lists!$C$2:$E$20,2,FALSE),"")),IFERROR(VLOOKUP($E31,Lists!$C$2:$E$20,2,FALSE),""))))&amp;IF($AC31="Yes",IF(N($X31)&gt;=3," | VIP Team checkpoints complete - no more automatic check-ins"," | Day "&amp;CHOOSE(N($X31)+1,1,7,14)&amp;" VIP Team check-in - confirm active/depositing"),"")</f>
        <v/>
      </c>
      <c r="L31" s="11" t="n"/>
      <c r="M31" s="11" t="n"/>
      <c r="N31" s="15" t="n"/>
      <c r="O31" s="11">
        <f>IF($E31="","",IF(AND($E31="Active",$F31="Green"),"Yes","No"))</f>
        <v/>
      </c>
      <c r="P31" s="11" t="n"/>
      <c r="Q31">
        <f>IF($I31="","",ROUND(TODAY()-$I31,0))</f>
        <v/>
      </c>
      <c r="R31">
        <f>IF($B31="",0,IF(OR(AND(ISNUMBER($J31),$J31&lt;=TODAY(),$E31&lt;&gt;"Dead Lead"),AND($D31="",$E31&lt;&gt;"",$E31&lt;&gt;"Dead Lead",OR($I31="",$I31&lt;TODAY()))),1,0))</f>
        <v/>
      </c>
      <c r="S31">
        <f>IF($R31=1,SUMPRODUCT(($R$4:$R$203=1)*(($Q$4:$Q$203&gt;$Q31)+(($Q$4:$Q$203=$Q31)*(ROW($Q$4:$Q$203)&lt;ROW($Q31)))))+1,"")</f>
        <v/>
      </c>
      <c r="T31" s="11">
        <f>IF($B31="","",0)</f>
        <v/>
      </c>
      <c r="U31">
        <f>IF($B31="",0,IF($E31="Dead Lead",1,0))</f>
        <v/>
      </c>
      <c r="V31">
        <f>IF($U31=1,SUMPRODUCT(($U$4:$U$203=1)*(($J$4:$J$203&lt;$J31)+(($J$4:$J$203=$J31)*(ROW($J$4:$J$203)&lt;ROW($J31)))))+1,"")</f>
        <v/>
      </c>
      <c r="W31" s="12">
        <f>IF($B31="","","")</f>
        <v/>
      </c>
      <c r="X31" s="11">
        <f>IF($B31="","",0)</f>
        <v/>
      </c>
      <c r="Y31">
        <f>IF($B31="",0,IF(AND($R31=0,$E31&lt;&gt;"Dead Lead",ISNUMBER($J31),$J31&lt;=TODAY()+7),1,0))</f>
        <v/>
      </c>
      <c r="Z31">
        <f>IF($Y31=1,SUMPRODUCT(($Y$4:$Y$203=1)*(($J$4:$J$203&lt;$J31)+(($J$4:$J$203=$J31)*(ROW($J$4:$J$203)&lt;ROW($J31)))))+1,"")</f>
        <v/>
      </c>
      <c r="AA31" s="12">
        <f>IF($B31="","","")</f>
        <v/>
      </c>
      <c r="AB31" s="11">
        <f>IF($B31="","",0)</f>
        <v/>
      </c>
      <c r="AC31" s="11" t="n"/>
      <c r="AD31">
        <f>IF($E31="","",IF($E31="VIP Transferred",IF($AA31="","",IF(N($AB31)&gt;=3,"N/A - Closed",$AA31+CHOOSE(N($AB31)+1,1,2,3))),IF($I31="","",IF(VLOOKUP($E31,Lists!$C$2:$E$20,3,FALSE)="CLOSED","N/A - Closed",$I31+VLOOKUP($E31,Lists!$C$2:$E$20,3,FALSE)))))</f>
        <v/>
      </c>
      <c r="AE31">
        <f>IF(AND($AC31="Yes",$W31&lt;&gt;"",N($X31)&lt;3),$W31+CHOOSE(N($X31)+1,1,7,14),"")</f>
        <v/>
      </c>
      <c r="AF31" s="12">
        <f>IF($B31="","","")</f>
        <v/>
      </c>
    </row>
    <row r="32">
      <c r="A32" s="11">
        <f>IF($B32="","","YU-"&amp;TEXT(ROW()-3,"0000"))</f>
        <v/>
      </c>
      <c r="B32" s="11" t="n"/>
      <c r="C32" s="11" t="inlineStr">
        <is>
          <t>Discord</t>
        </is>
      </c>
      <c r="D32" s="11" t="n"/>
      <c r="E32" s="11" t="n"/>
      <c r="F32" s="11">
        <f>IF($E32="","",IF($E32="Dead Lead","Black",IF(IF(ISNUMBER($J32),TODAY()-$J32&gt;3,FALSE),"Red",IF($E32="Reactivation Queue","Red",IF(OR($E32="First Deposit",$E32="Active"),"Green","Yellow")))))</f>
        <v/>
      </c>
      <c r="G32" s="11">
        <f>IF($F32="","",IF($F32="Red",1,IF($F32="Yellow",2,IF($F32="Green",3,4))))</f>
        <v/>
      </c>
      <c r="H32" s="14" t="n"/>
      <c r="I32" s="14" t="n"/>
      <c r="J32" s="12">
        <f>IF($E32="","",IF(AND(ISNUMBER($AD32),ISNUMBER($AE32)),MIN($AD32,$AE32),IF(ISNUMBER($AE32),$AE32,$AD32)))</f>
        <v/>
      </c>
      <c r="K32" s="11">
        <f>IF($E32="","",IF($E32="VIP Transferred",IF(N($AB32)&gt;=3,"Should be Dead Lead (3 attempts, still no deposit) - will auto-update","Day "&amp;CHOOSE(N($AB32)+1,1,2,3)&amp;" URGENT VIP check-in - help them finish KYC and lock in first deposit"),IF(AND($D32="",$E32&lt;&gt;"Dead Lead"),IF(N($T32)&gt;=3,"READY FOR DEAD LEAD (3 attempts, still no sign-up)","GET ROOBET SIGN-UP - "&amp;IFERROR(VLOOKUP($E32,Lists!$C$2:$E$20,2,FALSE),"")),IFERROR(VLOOKUP($E32,Lists!$C$2:$E$20,2,FALSE),""))))&amp;IF($AC32="Yes",IF(N($X32)&gt;=3," | VIP Team checkpoints complete - no more automatic check-ins"," | Day "&amp;CHOOSE(N($X32)+1,1,7,14)&amp;" VIP Team check-in - confirm active/depositing"),"")</f>
        <v/>
      </c>
      <c r="L32" s="11" t="n"/>
      <c r="M32" s="11" t="n"/>
      <c r="N32" s="15" t="n"/>
      <c r="O32" s="11">
        <f>IF($E32="","",IF(AND($E32="Active",$F32="Green"),"Yes","No"))</f>
        <v/>
      </c>
      <c r="P32" s="11" t="n"/>
      <c r="Q32">
        <f>IF($I32="","",ROUND(TODAY()-$I32,0))</f>
        <v/>
      </c>
      <c r="R32">
        <f>IF($B32="",0,IF(OR(AND(ISNUMBER($J32),$J32&lt;=TODAY(),$E32&lt;&gt;"Dead Lead"),AND($D32="",$E32&lt;&gt;"",$E32&lt;&gt;"Dead Lead",OR($I32="",$I32&lt;TODAY()))),1,0))</f>
        <v/>
      </c>
      <c r="S32">
        <f>IF($R32=1,SUMPRODUCT(($R$4:$R$203=1)*(($Q$4:$Q$203&gt;$Q32)+(($Q$4:$Q$203=$Q32)*(ROW($Q$4:$Q$203)&lt;ROW($Q32)))))+1,"")</f>
        <v/>
      </c>
      <c r="T32" s="11">
        <f>IF($B32="","",0)</f>
        <v/>
      </c>
      <c r="U32">
        <f>IF($B32="",0,IF($E32="Dead Lead",1,0))</f>
        <v/>
      </c>
      <c r="V32">
        <f>IF($U32=1,SUMPRODUCT(($U$4:$U$203=1)*(($J$4:$J$203&lt;$J32)+(($J$4:$J$203=$J32)*(ROW($J$4:$J$203)&lt;ROW($J32)))))+1,"")</f>
        <v/>
      </c>
      <c r="W32" s="12">
        <f>IF($B32="","","")</f>
        <v/>
      </c>
      <c r="X32" s="11">
        <f>IF($B32="","",0)</f>
        <v/>
      </c>
      <c r="Y32">
        <f>IF($B32="",0,IF(AND($R32=0,$E32&lt;&gt;"Dead Lead",ISNUMBER($J32),$J32&lt;=TODAY()+7),1,0))</f>
        <v/>
      </c>
      <c r="Z32">
        <f>IF($Y32=1,SUMPRODUCT(($Y$4:$Y$203=1)*(($J$4:$J$203&lt;$J32)+(($J$4:$J$203=$J32)*(ROW($J$4:$J$203)&lt;ROW($J32)))))+1,"")</f>
        <v/>
      </c>
      <c r="AA32" s="12">
        <f>IF($B32="","","")</f>
        <v/>
      </c>
      <c r="AB32" s="11">
        <f>IF($B32="","",0)</f>
        <v/>
      </c>
      <c r="AC32" s="11" t="n"/>
      <c r="AD32">
        <f>IF($E32="","",IF($E32="VIP Transferred",IF($AA32="","",IF(N($AB32)&gt;=3,"N/A - Closed",$AA32+CHOOSE(N($AB32)+1,1,2,3))),IF($I32="","",IF(VLOOKUP($E32,Lists!$C$2:$E$20,3,FALSE)="CLOSED","N/A - Closed",$I32+VLOOKUP($E32,Lists!$C$2:$E$20,3,FALSE)))))</f>
        <v/>
      </c>
      <c r="AE32">
        <f>IF(AND($AC32="Yes",$W32&lt;&gt;"",N($X32)&lt;3),$W32+CHOOSE(N($X32)+1,1,7,14),"")</f>
        <v/>
      </c>
      <c r="AF32" s="12">
        <f>IF($B32="","","")</f>
        <v/>
      </c>
    </row>
    <row r="33">
      <c r="A33" s="11">
        <f>IF($B33="","","YU-"&amp;TEXT(ROW()-3,"0000"))</f>
        <v/>
      </c>
      <c r="B33" s="11" t="n"/>
      <c r="C33" s="11" t="inlineStr">
        <is>
          <t>Discord</t>
        </is>
      </c>
      <c r="D33" s="11" t="n"/>
      <c r="E33" s="11" t="n"/>
      <c r="F33" s="11">
        <f>IF($E33="","",IF($E33="Dead Lead","Black",IF(IF(ISNUMBER($J33),TODAY()-$J33&gt;3,FALSE),"Red",IF($E33="Reactivation Queue","Red",IF(OR($E33="First Deposit",$E33="Active"),"Green","Yellow")))))</f>
        <v/>
      </c>
      <c r="G33" s="11">
        <f>IF($F33="","",IF($F33="Red",1,IF($F33="Yellow",2,IF($F33="Green",3,4))))</f>
        <v/>
      </c>
      <c r="H33" s="14" t="n"/>
      <c r="I33" s="14" t="n"/>
      <c r="J33" s="12">
        <f>IF($E33="","",IF(AND(ISNUMBER($AD33),ISNUMBER($AE33)),MIN($AD33,$AE33),IF(ISNUMBER($AE33),$AE33,$AD33)))</f>
        <v/>
      </c>
      <c r="K33" s="11">
        <f>IF($E33="","",IF($E33="VIP Transferred",IF(N($AB33)&gt;=3,"Should be Dead Lead (3 attempts, still no deposit) - will auto-update","Day "&amp;CHOOSE(N($AB33)+1,1,2,3)&amp;" URGENT VIP check-in - help them finish KYC and lock in first deposit"),IF(AND($D33="",$E33&lt;&gt;"Dead Lead"),IF(N($T33)&gt;=3,"READY FOR DEAD LEAD (3 attempts, still no sign-up)","GET ROOBET SIGN-UP - "&amp;IFERROR(VLOOKUP($E33,Lists!$C$2:$E$20,2,FALSE),"")),IFERROR(VLOOKUP($E33,Lists!$C$2:$E$20,2,FALSE),""))))&amp;IF($AC33="Yes",IF(N($X33)&gt;=3," | VIP Team checkpoints complete - no more automatic check-ins"," | Day "&amp;CHOOSE(N($X33)+1,1,7,14)&amp;" VIP Team check-in - confirm active/depositing"),"")</f>
        <v/>
      </c>
      <c r="L33" s="11" t="n"/>
      <c r="M33" s="11" t="n"/>
      <c r="N33" s="15" t="n"/>
      <c r="O33" s="11">
        <f>IF($E33="","",IF(AND($E33="Active",$F33="Green"),"Yes","No"))</f>
        <v/>
      </c>
      <c r="P33" s="11" t="n"/>
      <c r="Q33">
        <f>IF($I33="","",ROUND(TODAY()-$I33,0))</f>
        <v/>
      </c>
      <c r="R33">
        <f>IF($B33="",0,IF(OR(AND(ISNUMBER($J33),$J33&lt;=TODAY(),$E33&lt;&gt;"Dead Lead"),AND($D33="",$E33&lt;&gt;"",$E33&lt;&gt;"Dead Lead",OR($I33="",$I33&lt;TODAY()))),1,0))</f>
        <v/>
      </c>
      <c r="S33">
        <f>IF($R33=1,SUMPRODUCT(($R$4:$R$203=1)*(($Q$4:$Q$203&gt;$Q33)+(($Q$4:$Q$203=$Q33)*(ROW($Q$4:$Q$203)&lt;ROW($Q33)))))+1,"")</f>
        <v/>
      </c>
      <c r="T33" s="11">
        <f>IF($B33="","",0)</f>
        <v/>
      </c>
      <c r="U33">
        <f>IF($B33="",0,IF($E33="Dead Lead",1,0))</f>
        <v/>
      </c>
      <c r="V33">
        <f>IF($U33=1,SUMPRODUCT(($U$4:$U$203=1)*(($J$4:$J$203&lt;$J33)+(($J$4:$J$203=$J33)*(ROW($J$4:$J$203)&lt;ROW($J33)))))+1,"")</f>
        <v/>
      </c>
      <c r="W33" s="12">
        <f>IF($B33="","","")</f>
        <v/>
      </c>
      <c r="X33" s="11">
        <f>IF($B33="","",0)</f>
        <v/>
      </c>
      <c r="Y33">
        <f>IF($B33="",0,IF(AND($R33=0,$E33&lt;&gt;"Dead Lead",ISNUMBER($J33),$J33&lt;=TODAY()+7),1,0))</f>
        <v/>
      </c>
      <c r="Z33">
        <f>IF($Y33=1,SUMPRODUCT(($Y$4:$Y$203=1)*(($J$4:$J$203&lt;$J33)+(($J$4:$J$203=$J33)*(ROW($J$4:$J$203)&lt;ROW($J33)))))+1,"")</f>
        <v/>
      </c>
      <c r="AA33" s="12">
        <f>IF($B33="","","")</f>
        <v/>
      </c>
      <c r="AB33" s="11">
        <f>IF($B33="","",0)</f>
        <v/>
      </c>
      <c r="AC33" s="11" t="n"/>
      <c r="AD33">
        <f>IF($E33="","",IF($E33="VIP Transferred",IF($AA33="","",IF(N($AB33)&gt;=3,"N/A - Closed",$AA33+CHOOSE(N($AB33)+1,1,2,3))),IF($I33="","",IF(VLOOKUP($E33,Lists!$C$2:$E$20,3,FALSE)="CLOSED","N/A - Closed",$I33+VLOOKUP($E33,Lists!$C$2:$E$20,3,FALSE)))))</f>
        <v/>
      </c>
      <c r="AE33">
        <f>IF(AND($AC33="Yes",$W33&lt;&gt;"",N($X33)&lt;3),$W33+CHOOSE(N($X33)+1,1,7,14),"")</f>
        <v/>
      </c>
      <c r="AF33" s="12">
        <f>IF($B33="","","")</f>
        <v/>
      </c>
    </row>
    <row r="34">
      <c r="A34" s="11">
        <f>IF($B34="","","YU-"&amp;TEXT(ROW()-3,"0000"))</f>
        <v/>
      </c>
      <c r="B34" s="11" t="n"/>
      <c r="C34" s="11" t="inlineStr">
        <is>
          <t>Discord</t>
        </is>
      </c>
      <c r="D34" s="11" t="n"/>
      <c r="E34" s="11" t="n"/>
      <c r="F34" s="11">
        <f>IF($E34="","",IF($E34="Dead Lead","Black",IF(IF(ISNUMBER($J34),TODAY()-$J34&gt;3,FALSE),"Red",IF($E34="Reactivation Queue","Red",IF(OR($E34="First Deposit",$E34="Active"),"Green","Yellow")))))</f>
        <v/>
      </c>
      <c r="G34" s="11">
        <f>IF($F34="","",IF($F34="Red",1,IF($F34="Yellow",2,IF($F34="Green",3,4))))</f>
        <v/>
      </c>
      <c r="H34" s="14" t="n"/>
      <c r="I34" s="14" t="n"/>
      <c r="J34" s="12">
        <f>IF($E34="","",IF(AND(ISNUMBER($AD34),ISNUMBER($AE34)),MIN($AD34,$AE34),IF(ISNUMBER($AE34),$AE34,$AD34)))</f>
        <v/>
      </c>
      <c r="K34" s="11">
        <f>IF($E34="","",IF($E34="VIP Transferred",IF(N($AB34)&gt;=3,"Should be Dead Lead (3 attempts, still no deposit) - will auto-update","Day "&amp;CHOOSE(N($AB34)+1,1,2,3)&amp;" URGENT VIP check-in - help them finish KYC and lock in first deposit"),IF(AND($D34="",$E34&lt;&gt;"Dead Lead"),IF(N($T34)&gt;=3,"READY FOR DEAD LEAD (3 attempts, still no sign-up)","GET ROOBET SIGN-UP - "&amp;IFERROR(VLOOKUP($E34,Lists!$C$2:$E$20,2,FALSE),"")),IFERROR(VLOOKUP($E34,Lists!$C$2:$E$20,2,FALSE),""))))&amp;IF($AC34="Yes",IF(N($X34)&gt;=3," | VIP Team checkpoints complete - no more automatic check-ins"," | Day "&amp;CHOOSE(N($X34)+1,1,7,14)&amp;" VIP Team check-in - confirm active/depositing"),"")</f>
        <v/>
      </c>
      <c r="L34" s="11" t="n"/>
      <c r="M34" s="11" t="n"/>
      <c r="N34" s="15" t="n"/>
      <c r="O34" s="11">
        <f>IF($E34="","",IF(AND($E34="Active",$F34="Green"),"Yes","No"))</f>
        <v/>
      </c>
      <c r="P34" s="11" t="n"/>
      <c r="Q34">
        <f>IF($I34="","",ROUND(TODAY()-$I34,0))</f>
        <v/>
      </c>
      <c r="R34">
        <f>IF($B34="",0,IF(OR(AND(ISNUMBER($J34),$J34&lt;=TODAY(),$E34&lt;&gt;"Dead Lead"),AND($D34="",$E34&lt;&gt;"",$E34&lt;&gt;"Dead Lead",OR($I34="",$I34&lt;TODAY()))),1,0))</f>
        <v/>
      </c>
      <c r="S34">
        <f>IF($R34=1,SUMPRODUCT(($R$4:$R$203=1)*(($Q$4:$Q$203&gt;$Q34)+(($Q$4:$Q$203=$Q34)*(ROW($Q$4:$Q$203)&lt;ROW($Q34)))))+1,"")</f>
        <v/>
      </c>
      <c r="T34" s="11">
        <f>IF($B34="","",0)</f>
        <v/>
      </c>
      <c r="U34">
        <f>IF($B34="",0,IF($E34="Dead Lead",1,0))</f>
        <v/>
      </c>
      <c r="V34">
        <f>IF($U34=1,SUMPRODUCT(($U$4:$U$203=1)*(($J$4:$J$203&lt;$J34)+(($J$4:$J$203=$J34)*(ROW($J$4:$J$203)&lt;ROW($J34)))))+1,"")</f>
        <v/>
      </c>
      <c r="W34" s="12">
        <f>IF($B34="","","")</f>
        <v/>
      </c>
      <c r="X34" s="11">
        <f>IF($B34="","",0)</f>
        <v/>
      </c>
      <c r="Y34">
        <f>IF($B34="",0,IF(AND($R34=0,$E34&lt;&gt;"Dead Lead",ISNUMBER($J34),$J34&lt;=TODAY()+7),1,0))</f>
        <v/>
      </c>
      <c r="Z34">
        <f>IF($Y34=1,SUMPRODUCT(($Y$4:$Y$203=1)*(($J$4:$J$203&lt;$J34)+(($J$4:$J$203=$J34)*(ROW($J$4:$J$203)&lt;ROW($J34)))))+1,"")</f>
        <v/>
      </c>
      <c r="AA34" s="12">
        <f>IF($B34="","","")</f>
        <v/>
      </c>
      <c r="AB34" s="11">
        <f>IF($B34="","",0)</f>
        <v/>
      </c>
      <c r="AC34" s="11" t="n"/>
      <c r="AD34">
        <f>IF($E34="","",IF($E34="VIP Transferred",IF($AA34="","",IF(N($AB34)&gt;=3,"N/A - Closed",$AA34+CHOOSE(N($AB34)+1,1,2,3))),IF($I34="","",IF(VLOOKUP($E34,Lists!$C$2:$E$20,3,FALSE)="CLOSED","N/A - Closed",$I34+VLOOKUP($E34,Lists!$C$2:$E$20,3,FALSE)))))</f>
        <v/>
      </c>
      <c r="AE34">
        <f>IF(AND($AC34="Yes",$W34&lt;&gt;"",N($X34)&lt;3),$W34+CHOOSE(N($X34)+1,1,7,14),"")</f>
        <v/>
      </c>
      <c r="AF34" s="12">
        <f>IF($B34="","","")</f>
        <v/>
      </c>
    </row>
    <row r="35">
      <c r="A35" s="11">
        <f>IF($B35="","","YU-"&amp;TEXT(ROW()-3,"0000"))</f>
        <v/>
      </c>
      <c r="B35" s="11" t="n"/>
      <c r="C35" s="11" t="inlineStr">
        <is>
          <t>Discord</t>
        </is>
      </c>
      <c r="D35" s="11" t="n"/>
      <c r="E35" s="11" t="n"/>
      <c r="F35" s="11">
        <f>IF($E35="","",IF($E35="Dead Lead","Black",IF(IF(ISNUMBER($J35),TODAY()-$J35&gt;3,FALSE),"Red",IF($E35="Reactivation Queue","Red",IF(OR($E35="First Deposit",$E35="Active"),"Green","Yellow")))))</f>
        <v/>
      </c>
      <c r="G35" s="11">
        <f>IF($F35="","",IF($F35="Red",1,IF($F35="Yellow",2,IF($F35="Green",3,4))))</f>
        <v/>
      </c>
      <c r="H35" s="14" t="n"/>
      <c r="I35" s="14" t="n"/>
      <c r="J35" s="12">
        <f>IF($E35="","",IF(AND(ISNUMBER($AD35),ISNUMBER($AE35)),MIN($AD35,$AE35),IF(ISNUMBER($AE35),$AE35,$AD35)))</f>
        <v/>
      </c>
      <c r="K35" s="11">
        <f>IF($E35="","",IF($E35="VIP Transferred",IF(N($AB35)&gt;=3,"Should be Dead Lead (3 attempts, still no deposit) - will auto-update","Day "&amp;CHOOSE(N($AB35)+1,1,2,3)&amp;" URGENT VIP check-in - help them finish KYC and lock in first deposit"),IF(AND($D35="",$E35&lt;&gt;"Dead Lead"),IF(N($T35)&gt;=3,"READY FOR DEAD LEAD (3 attempts, still no sign-up)","GET ROOBET SIGN-UP - "&amp;IFERROR(VLOOKUP($E35,Lists!$C$2:$E$20,2,FALSE),"")),IFERROR(VLOOKUP($E35,Lists!$C$2:$E$20,2,FALSE),""))))&amp;IF($AC35="Yes",IF(N($X35)&gt;=3," | VIP Team checkpoints complete - no more automatic check-ins"," | Day "&amp;CHOOSE(N($X35)+1,1,7,14)&amp;" VIP Team check-in - confirm active/depositing"),"")</f>
        <v/>
      </c>
      <c r="L35" s="11" t="n"/>
      <c r="M35" s="11" t="n"/>
      <c r="N35" s="15" t="n"/>
      <c r="O35" s="11">
        <f>IF($E35="","",IF(AND($E35="Active",$F35="Green"),"Yes","No"))</f>
        <v/>
      </c>
      <c r="P35" s="11" t="n"/>
      <c r="Q35">
        <f>IF($I35="","",ROUND(TODAY()-$I35,0))</f>
        <v/>
      </c>
      <c r="R35">
        <f>IF($B35="",0,IF(OR(AND(ISNUMBER($J35),$J35&lt;=TODAY(),$E35&lt;&gt;"Dead Lead"),AND($D35="",$E35&lt;&gt;"",$E35&lt;&gt;"Dead Lead",OR($I35="",$I35&lt;TODAY()))),1,0))</f>
        <v/>
      </c>
      <c r="S35">
        <f>IF($R35=1,SUMPRODUCT(($R$4:$R$203=1)*(($Q$4:$Q$203&gt;$Q35)+(($Q$4:$Q$203=$Q35)*(ROW($Q$4:$Q$203)&lt;ROW($Q35)))))+1,"")</f>
        <v/>
      </c>
      <c r="T35" s="11">
        <f>IF($B35="","",0)</f>
        <v/>
      </c>
      <c r="U35">
        <f>IF($B35="",0,IF($E35="Dead Lead",1,0))</f>
        <v/>
      </c>
      <c r="V35">
        <f>IF($U35=1,SUMPRODUCT(($U$4:$U$203=1)*(($J$4:$J$203&lt;$J35)+(($J$4:$J$203=$J35)*(ROW($J$4:$J$203)&lt;ROW($J35)))))+1,"")</f>
        <v/>
      </c>
      <c r="W35" s="12">
        <f>IF($B35="","","")</f>
        <v/>
      </c>
      <c r="X35" s="11">
        <f>IF($B35="","",0)</f>
        <v/>
      </c>
      <c r="Y35">
        <f>IF($B35="",0,IF(AND($R35=0,$E35&lt;&gt;"Dead Lead",ISNUMBER($J35),$J35&lt;=TODAY()+7),1,0))</f>
        <v/>
      </c>
      <c r="Z35">
        <f>IF($Y35=1,SUMPRODUCT(($Y$4:$Y$203=1)*(($J$4:$J$203&lt;$J35)+(($J$4:$J$203=$J35)*(ROW($J$4:$J$203)&lt;ROW($J35)))))+1,"")</f>
        <v/>
      </c>
      <c r="AA35" s="12">
        <f>IF($B35="","","")</f>
        <v/>
      </c>
      <c r="AB35" s="11">
        <f>IF($B35="","",0)</f>
        <v/>
      </c>
      <c r="AC35" s="11" t="n"/>
      <c r="AD35">
        <f>IF($E35="","",IF($E35="VIP Transferred",IF($AA35="","",IF(N($AB35)&gt;=3,"N/A - Closed",$AA35+CHOOSE(N($AB35)+1,1,2,3))),IF($I35="","",IF(VLOOKUP($E35,Lists!$C$2:$E$20,3,FALSE)="CLOSED","N/A - Closed",$I35+VLOOKUP($E35,Lists!$C$2:$E$20,3,FALSE)))))</f>
        <v/>
      </c>
      <c r="AE35">
        <f>IF(AND($AC35="Yes",$W35&lt;&gt;"",N($X35)&lt;3),$W35+CHOOSE(N($X35)+1,1,7,14),"")</f>
        <v/>
      </c>
      <c r="AF35" s="12">
        <f>IF($B35="","","")</f>
        <v/>
      </c>
    </row>
    <row r="36">
      <c r="A36" s="11">
        <f>IF($B36="","","YU-"&amp;TEXT(ROW()-3,"0000"))</f>
        <v/>
      </c>
      <c r="B36" s="11" t="n"/>
      <c r="C36" s="11" t="inlineStr">
        <is>
          <t>Discord</t>
        </is>
      </c>
      <c r="D36" s="11" t="n"/>
      <c r="E36" s="11" t="n"/>
      <c r="F36" s="11">
        <f>IF($E36="","",IF($E36="Dead Lead","Black",IF(IF(ISNUMBER($J36),TODAY()-$J36&gt;3,FALSE),"Red",IF($E36="Reactivation Queue","Red",IF(OR($E36="First Deposit",$E36="Active"),"Green","Yellow")))))</f>
        <v/>
      </c>
      <c r="G36" s="11">
        <f>IF($F36="","",IF($F36="Red",1,IF($F36="Yellow",2,IF($F36="Green",3,4))))</f>
        <v/>
      </c>
      <c r="H36" s="14" t="n"/>
      <c r="I36" s="14" t="n"/>
      <c r="J36" s="12">
        <f>IF($E36="","",IF(AND(ISNUMBER($AD36),ISNUMBER($AE36)),MIN($AD36,$AE36),IF(ISNUMBER($AE36),$AE36,$AD36)))</f>
        <v/>
      </c>
      <c r="K36" s="11">
        <f>IF($E36="","",IF($E36="VIP Transferred",IF(N($AB36)&gt;=3,"Should be Dead Lead (3 attempts, still no deposit) - will auto-update","Day "&amp;CHOOSE(N($AB36)+1,1,2,3)&amp;" URGENT VIP check-in - help them finish KYC and lock in first deposit"),IF(AND($D36="",$E36&lt;&gt;"Dead Lead"),IF(N($T36)&gt;=3,"READY FOR DEAD LEAD (3 attempts, still no sign-up)","GET ROOBET SIGN-UP - "&amp;IFERROR(VLOOKUP($E36,Lists!$C$2:$E$20,2,FALSE),"")),IFERROR(VLOOKUP($E36,Lists!$C$2:$E$20,2,FALSE),""))))&amp;IF($AC36="Yes",IF(N($X36)&gt;=3," | VIP Team checkpoints complete - no more automatic check-ins"," | Day "&amp;CHOOSE(N($X36)+1,1,7,14)&amp;" VIP Team check-in - confirm active/depositing"),"")</f>
        <v/>
      </c>
      <c r="L36" s="11" t="n"/>
      <c r="M36" s="11" t="n"/>
      <c r="N36" s="15" t="n"/>
      <c r="O36" s="11">
        <f>IF($E36="","",IF(AND($E36="Active",$F36="Green"),"Yes","No"))</f>
        <v/>
      </c>
      <c r="P36" s="11" t="n"/>
      <c r="Q36">
        <f>IF($I36="","",ROUND(TODAY()-$I36,0))</f>
        <v/>
      </c>
      <c r="R36">
        <f>IF($B36="",0,IF(OR(AND(ISNUMBER($J36),$J36&lt;=TODAY(),$E36&lt;&gt;"Dead Lead"),AND($D36="",$E36&lt;&gt;"",$E36&lt;&gt;"Dead Lead",OR($I36="",$I36&lt;TODAY()))),1,0))</f>
        <v/>
      </c>
      <c r="S36">
        <f>IF($R36=1,SUMPRODUCT(($R$4:$R$203=1)*(($Q$4:$Q$203&gt;$Q36)+(($Q$4:$Q$203=$Q36)*(ROW($Q$4:$Q$203)&lt;ROW($Q36)))))+1,"")</f>
        <v/>
      </c>
      <c r="T36" s="11">
        <f>IF($B36="","",0)</f>
        <v/>
      </c>
      <c r="U36">
        <f>IF($B36="",0,IF($E36="Dead Lead",1,0))</f>
        <v/>
      </c>
      <c r="V36">
        <f>IF($U36=1,SUMPRODUCT(($U$4:$U$203=1)*(($J$4:$J$203&lt;$J36)+(($J$4:$J$203=$J36)*(ROW($J$4:$J$203)&lt;ROW($J36)))))+1,"")</f>
        <v/>
      </c>
      <c r="W36" s="12">
        <f>IF($B36="","","")</f>
        <v/>
      </c>
      <c r="X36" s="11">
        <f>IF($B36="","",0)</f>
        <v/>
      </c>
      <c r="Y36">
        <f>IF($B36="",0,IF(AND($R36=0,$E36&lt;&gt;"Dead Lead",ISNUMBER($J36),$J36&lt;=TODAY()+7),1,0))</f>
        <v/>
      </c>
      <c r="Z36">
        <f>IF($Y36=1,SUMPRODUCT(($Y$4:$Y$203=1)*(($J$4:$J$203&lt;$J36)+(($J$4:$J$203=$J36)*(ROW($J$4:$J$203)&lt;ROW($J36)))))+1,"")</f>
        <v/>
      </c>
      <c r="AA36" s="12">
        <f>IF($B36="","","")</f>
        <v/>
      </c>
      <c r="AB36" s="11">
        <f>IF($B36="","",0)</f>
        <v/>
      </c>
      <c r="AC36" s="11" t="n"/>
      <c r="AD36">
        <f>IF($E36="","",IF($E36="VIP Transferred",IF($AA36="","",IF(N($AB36)&gt;=3,"N/A - Closed",$AA36+CHOOSE(N($AB36)+1,1,2,3))),IF($I36="","",IF(VLOOKUP($E36,Lists!$C$2:$E$20,3,FALSE)="CLOSED","N/A - Closed",$I36+VLOOKUP($E36,Lists!$C$2:$E$20,3,FALSE)))))</f>
        <v/>
      </c>
      <c r="AE36">
        <f>IF(AND($AC36="Yes",$W36&lt;&gt;"",N($X36)&lt;3),$W36+CHOOSE(N($X36)+1,1,7,14),"")</f>
        <v/>
      </c>
      <c r="AF36" s="12">
        <f>IF($B36="","","")</f>
        <v/>
      </c>
    </row>
    <row r="37">
      <c r="A37" s="11">
        <f>IF($B37="","","YU-"&amp;TEXT(ROW()-3,"0000"))</f>
        <v/>
      </c>
      <c r="B37" s="11" t="n"/>
      <c r="C37" s="11" t="inlineStr">
        <is>
          <t>Discord</t>
        </is>
      </c>
      <c r="D37" s="11" t="n"/>
      <c r="E37" s="11" t="n"/>
      <c r="F37" s="11">
        <f>IF($E37="","",IF($E37="Dead Lead","Black",IF(IF(ISNUMBER($J37),TODAY()-$J37&gt;3,FALSE),"Red",IF($E37="Reactivation Queue","Red",IF(OR($E37="First Deposit",$E37="Active"),"Green","Yellow")))))</f>
        <v/>
      </c>
      <c r="G37" s="11">
        <f>IF($F37="","",IF($F37="Red",1,IF($F37="Yellow",2,IF($F37="Green",3,4))))</f>
        <v/>
      </c>
      <c r="H37" s="14" t="n"/>
      <c r="I37" s="14" t="n"/>
      <c r="J37" s="12">
        <f>IF($E37="","",IF(AND(ISNUMBER($AD37),ISNUMBER($AE37)),MIN($AD37,$AE37),IF(ISNUMBER($AE37),$AE37,$AD37)))</f>
        <v/>
      </c>
      <c r="K37" s="11">
        <f>IF($E37="","",IF($E37="VIP Transferred",IF(N($AB37)&gt;=3,"Should be Dead Lead (3 attempts, still no deposit) - will auto-update","Day "&amp;CHOOSE(N($AB37)+1,1,2,3)&amp;" URGENT VIP check-in - help them finish KYC and lock in first deposit"),IF(AND($D37="",$E37&lt;&gt;"Dead Lead"),IF(N($T37)&gt;=3,"READY FOR DEAD LEAD (3 attempts, still no sign-up)","GET ROOBET SIGN-UP - "&amp;IFERROR(VLOOKUP($E37,Lists!$C$2:$E$20,2,FALSE),"")),IFERROR(VLOOKUP($E37,Lists!$C$2:$E$20,2,FALSE),""))))&amp;IF($AC37="Yes",IF(N($X37)&gt;=3," | VIP Team checkpoints complete - no more automatic check-ins"," | Day "&amp;CHOOSE(N($X37)+1,1,7,14)&amp;" VIP Team check-in - confirm active/depositing"),"")</f>
        <v/>
      </c>
      <c r="L37" s="11" t="n"/>
      <c r="M37" s="11" t="n"/>
      <c r="N37" s="15" t="n"/>
      <c r="O37" s="11">
        <f>IF($E37="","",IF(AND($E37="Active",$F37="Green"),"Yes","No"))</f>
        <v/>
      </c>
      <c r="P37" s="11" t="n"/>
      <c r="Q37">
        <f>IF($I37="","",ROUND(TODAY()-$I37,0))</f>
        <v/>
      </c>
      <c r="R37">
        <f>IF($B37="",0,IF(OR(AND(ISNUMBER($J37),$J37&lt;=TODAY(),$E37&lt;&gt;"Dead Lead"),AND($D37="",$E37&lt;&gt;"",$E37&lt;&gt;"Dead Lead",OR($I37="",$I37&lt;TODAY()))),1,0))</f>
        <v/>
      </c>
      <c r="S37">
        <f>IF($R37=1,SUMPRODUCT(($R$4:$R$203=1)*(($Q$4:$Q$203&gt;$Q37)+(($Q$4:$Q$203=$Q37)*(ROW($Q$4:$Q$203)&lt;ROW($Q37)))))+1,"")</f>
        <v/>
      </c>
      <c r="T37" s="11">
        <f>IF($B37="","",0)</f>
        <v/>
      </c>
      <c r="U37">
        <f>IF($B37="",0,IF($E37="Dead Lead",1,0))</f>
        <v/>
      </c>
      <c r="V37">
        <f>IF($U37=1,SUMPRODUCT(($U$4:$U$203=1)*(($J$4:$J$203&lt;$J37)+(($J$4:$J$203=$J37)*(ROW($J$4:$J$203)&lt;ROW($J37)))))+1,"")</f>
        <v/>
      </c>
      <c r="W37" s="12">
        <f>IF($B37="","","")</f>
        <v/>
      </c>
      <c r="X37" s="11">
        <f>IF($B37="","",0)</f>
        <v/>
      </c>
      <c r="Y37">
        <f>IF($B37="",0,IF(AND($R37=0,$E37&lt;&gt;"Dead Lead",ISNUMBER($J37),$J37&lt;=TODAY()+7),1,0))</f>
        <v/>
      </c>
      <c r="Z37">
        <f>IF($Y37=1,SUMPRODUCT(($Y$4:$Y$203=1)*(($J$4:$J$203&lt;$J37)+(($J$4:$J$203=$J37)*(ROW($J$4:$J$203)&lt;ROW($J37)))))+1,"")</f>
        <v/>
      </c>
      <c r="AA37" s="12">
        <f>IF($B37="","","")</f>
        <v/>
      </c>
      <c r="AB37" s="11">
        <f>IF($B37="","",0)</f>
        <v/>
      </c>
      <c r="AC37" s="11" t="n"/>
      <c r="AD37">
        <f>IF($E37="","",IF($E37="VIP Transferred",IF($AA37="","",IF(N($AB37)&gt;=3,"N/A - Closed",$AA37+CHOOSE(N($AB37)+1,1,2,3))),IF($I37="","",IF(VLOOKUP($E37,Lists!$C$2:$E$20,3,FALSE)="CLOSED","N/A - Closed",$I37+VLOOKUP($E37,Lists!$C$2:$E$20,3,FALSE)))))</f>
        <v/>
      </c>
      <c r="AE37">
        <f>IF(AND($AC37="Yes",$W37&lt;&gt;"",N($X37)&lt;3),$W37+CHOOSE(N($X37)+1,1,7,14),"")</f>
        <v/>
      </c>
      <c r="AF37" s="12">
        <f>IF($B37="","","")</f>
        <v/>
      </c>
    </row>
    <row r="38">
      <c r="A38" s="11">
        <f>IF($B38="","","YU-"&amp;TEXT(ROW()-3,"0000"))</f>
        <v/>
      </c>
      <c r="B38" s="11" t="n"/>
      <c r="C38" s="11" t="inlineStr">
        <is>
          <t>Discord</t>
        </is>
      </c>
      <c r="D38" s="11" t="n"/>
      <c r="E38" s="11" t="n"/>
      <c r="F38" s="11">
        <f>IF($E38="","",IF($E38="Dead Lead","Black",IF(IF(ISNUMBER($J38),TODAY()-$J38&gt;3,FALSE),"Red",IF($E38="Reactivation Queue","Red",IF(OR($E38="First Deposit",$E38="Active"),"Green","Yellow")))))</f>
        <v/>
      </c>
      <c r="G38" s="11">
        <f>IF($F38="","",IF($F38="Red",1,IF($F38="Yellow",2,IF($F38="Green",3,4))))</f>
        <v/>
      </c>
      <c r="H38" s="14" t="n"/>
      <c r="I38" s="14" t="n"/>
      <c r="J38" s="12">
        <f>IF($E38="","",IF(AND(ISNUMBER($AD38),ISNUMBER($AE38)),MIN($AD38,$AE38),IF(ISNUMBER($AE38),$AE38,$AD38)))</f>
        <v/>
      </c>
      <c r="K38" s="11">
        <f>IF($E38="","",IF($E38="VIP Transferred",IF(N($AB38)&gt;=3,"Should be Dead Lead (3 attempts, still no deposit) - will auto-update","Day "&amp;CHOOSE(N($AB38)+1,1,2,3)&amp;" URGENT VIP check-in - help them finish KYC and lock in first deposit"),IF(AND($D38="",$E38&lt;&gt;"Dead Lead"),IF(N($T38)&gt;=3,"READY FOR DEAD LEAD (3 attempts, still no sign-up)","GET ROOBET SIGN-UP - "&amp;IFERROR(VLOOKUP($E38,Lists!$C$2:$E$20,2,FALSE),"")),IFERROR(VLOOKUP($E38,Lists!$C$2:$E$20,2,FALSE),""))))&amp;IF($AC38="Yes",IF(N($X38)&gt;=3," | VIP Team checkpoints complete - no more automatic check-ins"," | Day "&amp;CHOOSE(N($X38)+1,1,7,14)&amp;" VIP Team check-in - confirm active/depositing"),"")</f>
        <v/>
      </c>
      <c r="L38" s="11" t="n"/>
      <c r="M38" s="11" t="n"/>
      <c r="N38" s="15" t="n"/>
      <c r="O38" s="11">
        <f>IF($E38="","",IF(AND($E38="Active",$F38="Green"),"Yes","No"))</f>
        <v/>
      </c>
      <c r="P38" s="11" t="n"/>
      <c r="Q38">
        <f>IF($I38="","",ROUND(TODAY()-$I38,0))</f>
        <v/>
      </c>
      <c r="R38">
        <f>IF($B38="",0,IF(OR(AND(ISNUMBER($J38),$J38&lt;=TODAY(),$E38&lt;&gt;"Dead Lead"),AND($D38="",$E38&lt;&gt;"",$E38&lt;&gt;"Dead Lead",OR($I38="",$I38&lt;TODAY()))),1,0))</f>
        <v/>
      </c>
      <c r="S38">
        <f>IF($R38=1,SUMPRODUCT(($R$4:$R$203=1)*(($Q$4:$Q$203&gt;$Q38)+(($Q$4:$Q$203=$Q38)*(ROW($Q$4:$Q$203)&lt;ROW($Q38)))))+1,"")</f>
        <v/>
      </c>
      <c r="T38" s="11">
        <f>IF($B38="","",0)</f>
        <v/>
      </c>
      <c r="U38">
        <f>IF($B38="",0,IF($E38="Dead Lead",1,0))</f>
        <v/>
      </c>
      <c r="V38">
        <f>IF($U38=1,SUMPRODUCT(($U$4:$U$203=1)*(($J$4:$J$203&lt;$J38)+(($J$4:$J$203=$J38)*(ROW($J$4:$J$203)&lt;ROW($J38)))))+1,"")</f>
        <v/>
      </c>
      <c r="W38" s="12">
        <f>IF($B38="","","")</f>
        <v/>
      </c>
      <c r="X38" s="11">
        <f>IF($B38="","",0)</f>
        <v/>
      </c>
      <c r="Y38">
        <f>IF($B38="",0,IF(AND($R38=0,$E38&lt;&gt;"Dead Lead",ISNUMBER($J38),$J38&lt;=TODAY()+7),1,0))</f>
        <v/>
      </c>
      <c r="Z38">
        <f>IF($Y38=1,SUMPRODUCT(($Y$4:$Y$203=1)*(($J$4:$J$203&lt;$J38)+(($J$4:$J$203=$J38)*(ROW($J$4:$J$203)&lt;ROW($J38)))))+1,"")</f>
        <v/>
      </c>
      <c r="AA38" s="12">
        <f>IF($B38="","","")</f>
        <v/>
      </c>
      <c r="AB38" s="11">
        <f>IF($B38="","",0)</f>
        <v/>
      </c>
      <c r="AC38" s="11" t="n"/>
      <c r="AD38">
        <f>IF($E38="","",IF($E38="VIP Transferred",IF($AA38="","",IF(N($AB38)&gt;=3,"N/A - Closed",$AA38+CHOOSE(N($AB38)+1,1,2,3))),IF($I38="","",IF(VLOOKUP($E38,Lists!$C$2:$E$20,3,FALSE)="CLOSED","N/A - Closed",$I38+VLOOKUP($E38,Lists!$C$2:$E$20,3,FALSE)))))</f>
        <v/>
      </c>
      <c r="AE38">
        <f>IF(AND($AC38="Yes",$W38&lt;&gt;"",N($X38)&lt;3),$W38+CHOOSE(N($X38)+1,1,7,14),"")</f>
        <v/>
      </c>
      <c r="AF38" s="12">
        <f>IF($B38="","","")</f>
        <v/>
      </c>
    </row>
    <row r="39">
      <c r="A39" s="11">
        <f>IF($B39="","","YU-"&amp;TEXT(ROW()-3,"0000"))</f>
        <v/>
      </c>
      <c r="B39" s="11" t="n"/>
      <c r="C39" s="11" t="inlineStr">
        <is>
          <t>Discord</t>
        </is>
      </c>
      <c r="D39" s="11" t="n"/>
      <c r="E39" s="11" t="n"/>
      <c r="F39" s="11">
        <f>IF($E39="","",IF($E39="Dead Lead","Black",IF(IF(ISNUMBER($J39),TODAY()-$J39&gt;3,FALSE),"Red",IF($E39="Reactivation Queue","Red",IF(OR($E39="First Deposit",$E39="Active"),"Green","Yellow")))))</f>
        <v/>
      </c>
      <c r="G39" s="11">
        <f>IF($F39="","",IF($F39="Red",1,IF($F39="Yellow",2,IF($F39="Green",3,4))))</f>
        <v/>
      </c>
      <c r="H39" s="14" t="n"/>
      <c r="I39" s="14" t="n"/>
      <c r="J39" s="12">
        <f>IF($E39="","",IF(AND(ISNUMBER($AD39),ISNUMBER($AE39)),MIN($AD39,$AE39),IF(ISNUMBER($AE39),$AE39,$AD39)))</f>
        <v/>
      </c>
      <c r="K39" s="11">
        <f>IF($E39="","",IF($E39="VIP Transferred",IF(N($AB39)&gt;=3,"Should be Dead Lead (3 attempts, still no deposit) - will auto-update","Day "&amp;CHOOSE(N($AB39)+1,1,2,3)&amp;" URGENT VIP check-in - help them finish KYC and lock in first deposit"),IF(AND($D39="",$E39&lt;&gt;"Dead Lead"),IF(N($T39)&gt;=3,"READY FOR DEAD LEAD (3 attempts, still no sign-up)","GET ROOBET SIGN-UP - "&amp;IFERROR(VLOOKUP($E39,Lists!$C$2:$E$20,2,FALSE),"")),IFERROR(VLOOKUP($E39,Lists!$C$2:$E$20,2,FALSE),""))))&amp;IF($AC39="Yes",IF(N($X39)&gt;=3," | VIP Team checkpoints complete - no more automatic check-ins"," | Day "&amp;CHOOSE(N($X39)+1,1,7,14)&amp;" VIP Team check-in - confirm active/depositing"),"")</f>
        <v/>
      </c>
      <c r="L39" s="11" t="n"/>
      <c r="M39" s="11" t="n"/>
      <c r="N39" s="15" t="n"/>
      <c r="O39" s="11">
        <f>IF($E39="","",IF(AND($E39="Active",$F39="Green"),"Yes","No"))</f>
        <v/>
      </c>
      <c r="P39" s="11" t="n"/>
      <c r="Q39">
        <f>IF($I39="","",ROUND(TODAY()-$I39,0))</f>
        <v/>
      </c>
      <c r="R39">
        <f>IF($B39="",0,IF(OR(AND(ISNUMBER($J39),$J39&lt;=TODAY(),$E39&lt;&gt;"Dead Lead"),AND($D39="",$E39&lt;&gt;"",$E39&lt;&gt;"Dead Lead",OR($I39="",$I39&lt;TODAY()))),1,0))</f>
        <v/>
      </c>
      <c r="S39">
        <f>IF($R39=1,SUMPRODUCT(($R$4:$R$203=1)*(($Q$4:$Q$203&gt;$Q39)+(($Q$4:$Q$203=$Q39)*(ROW($Q$4:$Q$203)&lt;ROW($Q39)))))+1,"")</f>
        <v/>
      </c>
      <c r="T39" s="11">
        <f>IF($B39="","",0)</f>
        <v/>
      </c>
      <c r="U39">
        <f>IF($B39="",0,IF($E39="Dead Lead",1,0))</f>
        <v/>
      </c>
      <c r="V39">
        <f>IF($U39=1,SUMPRODUCT(($U$4:$U$203=1)*(($J$4:$J$203&lt;$J39)+(($J$4:$J$203=$J39)*(ROW($J$4:$J$203)&lt;ROW($J39)))))+1,"")</f>
        <v/>
      </c>
      <c r="W39" s="12">
        <f>IF($B39="","","")</f>
        <v/>
      </c>
      <c r="X39" s="11">
        <f>IF($B39="","",0)</f>
        <v/>
      </c>
      <c r="Y39">
        <f>IF($B39="",0,IF(AND($R39=0,$E39&lt;&gt;"Dead Lead",ISNUMBER($J39),$J39&lt;=TODAY()+7),1,0))</f>
        <v/>
      </c>
      <c r="Z39">
        <f>IF($Y39=1,SUMPRODUCT(($Y$4:$Y$203=1)*(($J$4:$J$203&lt;$J39)+(($J$4:$J$203=$J39)*(ROW($J$4:$J$203)&lt;ROW($J39)))))+1,"")</f>
        <v/>
      </c>
      <c r="AA39" s="12">
        <f>IF($B39="","","")</f>
        <v/>
      </c>
      <c r="AB39" s="11">
        <f>IF($B39="","",0)</f>
        <v/>
      </c>
      <c r="AC39" s="11" t="n"/>
      <c r="AD39">
        <f>IF($E39="","",IF($E39="VIP Transferred",IF($AA39="","",IF(N($AB39)&gt;=3,"N/A - Closed",$AA39+CHOOSE(N($AB39)+1,1,2,3))),IF($I39="","",IF(VLOOKUP($E39,Lists!$C$2:$E$20,3,FALSE)="CLOSED","N/A - Closed",$I39+VLOOKUP($E39,Lists!$C$2:$E$20,3,FALSE)))))</f>
        <v/>
      </c>
      <c r="AE39">
        <f>IF(AND($AC39="Yes",$W39&lt;&gt;"",N($X39)&lt;3),$W39+CHOOSE(N($X39)+1,1,7,14),"")</f>
        <v/>
      </c>
      <c r="AF39" s="12">
        <f>IF($B39="","","")</f>
        <v/>
      </c>
    </row>
    <row r="40">
      <c r="A40" s="11">
        <f>IF($B40="","","YU-"&amp;TEXT(ROW()-3,"0000"))</f>
        <v/>
      </c>
      <c r="B40" s="11" t="n"/>
      <c r="C40" s="11" t="inlineStr">
        <is>
          <t>Discord</t>
        </is>
      </c>
      <c r="D40" s="11" t="n"/>
      <c r="E40" s="11" t="n"/>
      <c r="F40" s="11">
        <f>IF($E40="","",IF($E40="Dead Lead","Black",IF(IF(ISNUMBER($J40),TODAY()-$J40&gt;3,FALSE),"Red",IF($E40="Reactivation Queue","Red",IF(OR($E40="First Deposit",$E40="Active"),"Green","Yellow")))))</f>
        <v/>
      </c>
      <c r="G40" s="11">
        <f>IF($F40="","",IF($F40="Red",1,IF($F40="Yellow",2,IF($F40="Green",3,4))))</f>
        <v/>
      </c>
      <c r="H40" s="14" t="n"/>
      <c r="I40" s="14" t="n"/>
      <c r="J40" s="12">
        <f>IF($E40="","",IF(AND(ISNUMBER($AD40),ISNUMBER($AE40)),MIN($AD40,$AE40),IF(ISNUMBER($AE40),$AE40,$AD40)))</f>
        <v/>
      </c>
      <c r="K40" s="11">
        <f>IF($E40="","",IF($E40="VIP Transferred",IF(N($AB40)&gt;=3,"Should be Dead Lead (3 attempts, still no deposit) - will auto-update","Day "&amp;CHOOSE(N($AB40)+1,1,2,3)&amp;" URGENT VIP check-in - help them finish KYC and lock in first deposit"),IF(AND($D40="",$E40&lt;&gt;"Dead Lead"),IF(N($T40)&gt;=3,"READY FOR DEAD LEAD (3 attempts, still no sign-up)","GET ROOBET SIGN-UP - "&amp;IFERROR(VLOOKUP($E40,Lists!$C$2:$E$20,2,FALSE),"")),IFERROR(VLOOKUP($E40,Lists!$C$2:$E$20,2,FALSE),""))))&amp;IF($AC40="Yes",IF(N($X40)&gt;=3," | VIP Team checkpoints complete - no more automatic check-ins"," | Day "&amp;CHOOSE(N($X40)+1,1,7,14)&amp;" VIP Team check-in - confirm active/depositing"),"")</f>
        <v/>
      </c>
      <c r="L40" s="11" t="n"/>
      <c r="M40" s="11" t="n"/>
      <c r="N40" s="15" t="n"/>
      <c r="O40" s="11">
        <f>IF($E40="","",IF(AND($E40="Active",$F40="Green"),"Yes","No"))</f>
        <v/>
      </c>
      <c r="P40" s="11" t="n"/>
      <c r="Q40">
        <f>IF($I40="","",ROUND(TODAY()-$I40,0))</f>
        <v/>
      </c>
      <c r="R40">
        <f>IF($B40="",0,IF(OR(AND(ISNUMBER($J40),$J40&lt;=TODAY(),$E40&lt;&gt;"Dead Lead"),AND($D40="",$E40&lt;&gt;"",$E40&lt;&gt;"Dead Lead",OR($I40="",$I40&lt;TODAY()))),1,0))</f>
        <v/>
      </c>
      <c r="S40">
        <f>IF($R40=1,SUMPRODUCT(($R$4:$R$203=1)*(($Q$4:$Q$203&gt;$Q40)+(($Q$4:$Q$203=$Q40)*(ROW($Q$4:$Q$203)&lt;ROW($Q40)))))+1,"")</f>
        <v/>
      </c>
      <c r="T40" s="11">
        <f>IF($B40="","",0)</f>
        <v/>
      </c>
      <c r="U40">
        <f>IF($B40="",0,IF($E40="Dead Lead",1,0))</f>
        <v/>
      </c>
      <c r="V40">
        <f>IF($U40=1,SUMPRODUCT(($U$4:$U$203=1)*(($J$4:$J$203&lt;$J40)+(($J$4:$J$203=$J40)*(ROW($J$4:$J$203)&lt;ROW($J40)))))+1,"")</f>
        <v/>
      </c>
      <c r="W40" s="12">
        <f>IF($B40="","","")</f>
        <v/>
      </c>
      <c r="X40" s="11">
        <f>IF($B40="","",0)</f>
        <v/>
      </c>
      <c r="Y40">
        <f>IF($B40="",0,IF(AND($R40=0,$E40&lt;&gt;"Dead Lead",ISNUMBER($J40),$J40&lt;=TODAY()+7),1,0))</f>
        <v/>
      </c>
      <c r="Z40">
        <f>IF($Y40=1,SUMPRODUCT(($Y$4:$Y$203=1)*(($J$4:$J$203&lt;$J40)+(($J$4:$J$203=$J40)*(ROW($J$4:$J$203)&lt;ROW($J40)))))+1,"")</f>
        <v/>
      </c>
      <c r="AA40" s="12">
        <f>IF($B40="","","")</f>
        <v/>
      </c>
      <c r="AB40" s="11">
        <f>IF($B40="","",0)</f>
        <v/>
      </c>
      <c r="AC40" s="11" t="n"/>
      <c r="AD40">
        <f>IF($E40="","",IF($E40="VIP Transferred",IF($AA40="","",IF(N($AB40)&gt;=3,"N/A - Closed",$AA40+CHOOSE(N($AB40)+1,1,2,3))),IF($I40="","",IF(VLOOKUP($E40,Lists!$C$2:$E$20,3,FALSE)="CLOSED","N/A - Closed",$I40+VLOOKUP($E40,Lists!$C$2:$E$20,3,FALSE)))))</f>
        <v/>
      </c>
      <c r="AE40">
        <f>IF(AND($AC40="Yes",$W40&lt;&gt;"",N($X40)&lt;3),$W40+CHOOSE(N($X40)+1,1,7,14),"")</f>
        <v/>
      </c>
      <c r="AF40" s="12">
        <f>IF($B40="","","")</f>
        <v/>
      </c>
    </row>
    <row r="41">
      <c r="A41" s="11">
        <f>IF($B41="","","YU-"&amp;TEXT(ROW()-3,"0000"))</f>
        <v/>
      </c>
      <c r="B41" s="11" t="n"/>
      <c r="C41" s="11" t="inlineStr">
        <is>
          <t>Discord</t>
        </is>
      </c>
      <c r="D41" s="11" t="n"/>
      <c r="E41" s="11" t="n"/>
      <c r="F41" s="11">
        <f>IF($E41="","",IF($E41="Dead Lead","Black",IF(IF(ISNUMBER($J41),TODAY()-$J41&gt;3,FALSE),"Red",IF($E41="Reactivation Queue","Red",IF(OR($E41="First Deposit",$E41="Active"),"Green","Yellow")))))</f>
        <v/>
      </c>
      <c r="G41" s="11">
        <f>IF($F41="","",IF($F41="Red",1,IF($F41="Yellow",2,IF($F41="Green",3,4))))</f>
        <v/>
      </c>
      <c r="H41" s="14" t="n"/>
      <c r="I41" s="14" t="n"/>
      <c r="J41" s="12">
        <f>IF($E41="","",IF(AND(ISNUMBER($AD41),ISNUMBER($AE41)),MIN($AD41,$AE41),IF(ISNUMBER($AE41),$AE41,$AD41)))</f>
        <v/>
      </c>
      <c r="K41" s="11">
        <f>IF($E41="","",IF($E41="VIP Transferred",IF(N($AB41)&gt;=3,"Should be Dead Lead (3 attempts, still no deposit) - will auto-update","Day "&amp;CHOOSE(N($AB41)+1,1,2,3)&amp;" URGENT VIP check-in - help them finish KYC and lock in first deposit"),IF(AND($D41="",$E41&lt;&gt;"Dead Lead"),IF(N($T41)&gt;=3,"READY FOR DEAD LEAD (3 attempts, still no sign-up)","GET ROOBET SIGN-UP - "&amp;IFERROR(VLOOKUP($E41,Lists!$C$2:$E$20,2,FALSE),"")),IFERROR(VLOOKUP($E41,Lists!$C$2:$E$20,2,FALSE),""))))&amp;IF($AC41="Yes",IF(N($X41)&gt;=3," | VIP Team checkpoints complete - no more automatic check-ins"," | Day "&amp;CHOOSE(N($X41)+1,1,7,14)&amp;" VIP Team check-in - confirm active/depositing"),"")</f>
        <v/>
      </c>
      <c r="L41" s="11" t="n"/>
      <c r="M41" s="11" t="n"/>
      <c r="N41" s="15" t="n"/>
      <c r="O41" s="11">
        <f>IF($E41="","",IF(AND($E41="Active",$F41="Green"),"Yes","No"))</f>
        <v/>
      </c>
      <c r="P41" s="11" t="n"/>
      <c r="Q41">
        <f>IF($I41="","",ROUND(TODAY()-$I41,0))</f>
        <v/>
      </c>
      <c r="R41">
        <f>IF($B41="",0,IF(OR(AND(ISNUMBER($J41),$J41&lt;=TODAY(),$E41&lt;&gt;"Dead Lead"),AND($D41="",$E41&lt;&gt;"",$E41&lt;&gt;"Dead Lead",OR($I41="",$I41&lt;TODAY()))),1,0))</f>
        <v/>
      </c>
      <c r="S41">
        <f>IF($R41=1,SUMPRODUCT(($R$4:$R$203=1)*(($Q$4:$Q$203&gt;$Q41)+(($Q$4:$Q$203=$Q41)*(ROW($Q$4:$Q$203)&lt;ROW($Q41)))))+1,"")</f>
        <v/>
      </c>
      <c r="T41" s="11">
        <f>IF($B41="","",0)</f>
        <v/>
      </c>
      <c r="U41">
        <f>IF($B41="",0,IF($E41="Dead Lead",1,0))</f>
        <v/>
      </c>
      <c r="V41">
        <f>IF($U41=1,SUMPRODUCT(($U$4:$U$203=1)*(($J$4:$J$203&lt;$J41)+(($J$4:$J$203=$J41)*(ROW($J$4:$J$203)&lt;ROW($J41)))))+1,"")</f>
        <v/>
      </c>
      <c r="W41" s="12">
        <f>IF($B41="","","")</f>
        <v/>
      </c>
      <c r="X41" s="11">
        <f>IF($B41="","",0)</f>
        <v/>
      </c>
      <c r="Y41">
        <f>IF($B41="",0,IF(AND($R41=0,$E41&lt;&gt;"Dead Lead",ISNUMBER($J41),$J41&lt;=TODAY()+7),1,0))</f>
        <v/>
      </c>
      <c r="Z41">
        <f>IF($Y41=1,SUMPRODUCT(($Y$4:$Y$203=1)*(($J$4:$J$203&lt;$J41)+(($J$4:$J$203=$J41)*(ROW($J$4:$J$203)&lt;ROW($J41)))))+1,"")</f>
        <v/>
      </c>
      <c r="AA41" s="12">
        <f>IF($B41="","","")</f>
        <v/>
      </c>
      <c r="AB41" s="11">
        <f>IF($B41="","",0)</f>
        <v/>
      </c>
      <c r="AC41" s="11" t="n"/>
      <c r="AD41">
        <f>IF($E41="","",IF($E41="VIP Transferred",IF($AA41="","",IF(N($AB41)&gt;=3,"N/A - Closed",$AA41+CHOOSE(N($AB41)+1,1,2,3))),IF($I41="","",IF(VLOOKUP($E41,Lists!$C$2:$E$20,3,FALSE)="CLOSED","N/A - Closed",$I41+VLOOKUP($E41,Lists!$C$2:$E$20,3,FALSE)))))</f>
        <v/>
      </c>
      <c r="AE41">
        <f>IF(AND($AC41="Yes",$W41&lt;&gt;"",N($X41)&lt;3),$W41+CHOOSE(N($X41)+1,1,7,14),"")</f>
        <v/>
      </c>
      <c r="AF41" s="12">
        <f>IF($B41="","","")</f>
        <v/>
      </c>
    </row>
    <row r="42">
      <c r="A42" s="11">
        <f>IF($B42="","","YU-"&amp;TEXT(ROW()-3,"0000"))</f>
        <v/>
      </c>
      <c r="B42" s="11" t="n"/>
      <c r="C42" s="11" t="inlineStr">
        <is>
          <t>Discord</t>
        </is>
      </c>
      <c r="D42" s="11" t="n"/>
      <c r="E42" s="11" t="n"/>
      <c r="F42" s="11">
        <f>IF($E42="","",IF($E42="Dead Lead","Black",IF(IF(ISNUMBER($J42),TODAY()-$J42&gt;3,FALSE),"Red",IF($E42="Reactivation Queue","Red",IF(OR($E42="First Deposit",$E42="Active"),"Green","Yellow")))))</f>
        <v/>
      </c>
      <c r="G42" s="11">
        <f>IF($F42="","",IF($F42="Red",1,IF($F42="Yellow",2,IF($F42="Green",3,4))))</f>
        <v/>
      </c>
      <c r="H42" s="14" t="n"/>
      <c r="I42" s="14" t="n"/>
      <c r="J42" s="12">
        <f>IF($E42="","",IF(AND(ISNUMBER($AD42),ISNUMBER($AE42)),MIN($AD42,$AE42),IF(ISNUMBER($AE42),$AE42,$AD42)))</f>
        <v/>
      </c>
      <c r="K42" s="11">
        <f>IF($E42="","",IF($E42="VIP Transferred",IF(N($AB42)&gt;=3,"Should be Dead Lead (3 attempts, still no deposit) - will auto-update","Day "&amp;CHOOSE(N($AB42)+1,1,2,3)&amp;" URGENT VIP check-in - help them finish KYC and lock in first deposit"),IF(AND($D42="",$E42&lt;&gt;"Dead Lead"),IF(N($T42)&gt;=3,"READY FOR DEAD LEAD (3 attempts, still no sign-up)","GET ROOBET SIGN-UP - "&amp;IFERROR(VLOOKUP($E42,Lists!$C$2:$E$20,2,FALSE),"")),IFERROR(VLOOKUP($E42,Lists!$C$2:$E$20,2,FALSE),""))))&amp;IF($AC42="Yes",IF(N($X42)&gt;=3," | VIP Team checkpoints complete - no more automatic check-ins"," | Day "&amp;CHOOSE(N($X42)+1,1,7,14)&amp;" VIP Team check-in - confirm active/depositing"),"")</f>
        <v/>
      </c>
      <c r="L42" s="11" t="n"/>
      <c r="M42" s="11" t="n"/>
      <c r="N42" s="15" t="n"/>
      <c r="O42" s="11">
        <f>IF($E42="","",IF(AND($E42="Active",$F42="Green"),"Yes","No"))</f>
        <v/>
      </c>
      <c r="P42" s="11" t="n"/>
      <c r="Q42">
        <f>IF($I42="","",ROUND(TODAY()-$I42,0))</f>
        <v/>
      </c>
      <c r="R42">
        <f>IF($B42="",0,IF(OR(AND(ISNUMBER($J42),$J42&lt;=TODAY(),$E42&lt;&gt;"Dead Lead"),AND($D42="",$E42&lt;&gt;"",$E42&lt;&gt;"Dead Lead",OR($I42="",$I42&lt;TODAY()))),1,0))</f>
        <v/>
      </c>
      <c r="S42">
        <f>IF($R42=1,SUMPRODUCT(($R$4:$R$203=1)*(($Q$4:$Q$203&gt;$Q42)+(($Q$4:$Q$203=$Q42)*(ROW($Q$4:$Q$203)&lt;ROW($Q42)))))+1,"")</f>
        <v/>
      </c>
      <c r="T42" s="11">
        <f>IF($B42="","",0)</f>
        <v/>
      </c>
      <c r="U42">
        <f>IF($B42="",0,IF($E42="Dead Lead",1,0))</f>
        <v/>
      </c>
      <c r="V42">
        <f>IF($U42=1,SUMPRODUCT(($U$4:$U$203=1)*(($J$4:$J$203&lt;$J42)+(($J$4:$J$203=$J42)*(ROW($J$4:$J$203)&lt;ROW($J42)))))+1,"")</f>
        <v/>
      </c>
      <c r="W42" s="12">
        <f>IF($B42="","","")</f>
        <v/>
      </c>
      <c r="X42" s="11">
        <f>IF($B42="","",0)</f>
        <v/>
      </c>
      <c r="Y42">
        <f>IF($B42="",0,IF(AND($R42=0,$E42&lt;&gt;"Dead Lead",ISNUMBER($J42),$J42&lt;=TODAY()+7),1,0))</f>
        <v/>
      </c>
      <c r="Z42">
        <f>IF($Y42=1,SUMPRODUCT(($Y$4:$Y$203=1)*(($J$4:$J$203&lt;$J42)+(($J$4:$J$203=$J42)*(ROW($J$4:$J$203)&lt;ROW($J42)))))+1,"")</f>
        <v/>
      </c>
      <c r="AA42" s="12">
        <f>IF($B42="","","")</f>
        <v/>
      </c>
      <c r="AB42" s="11">
        <f>IF($B42="","",0)</f>
        <v/>
      </c>
      <c r="AC42" s="11" t="n"/>
      <c r="AD42">
        <f>IF($E42="","",IF($E42="VIP Transferred",IF($AA42="","",IF(N($AB42)&gt;=3,"N/A - Closed",$AA42+CHOOSE(N($AB42)+1,1,2,3))),IF($I42="","",IF(VLOOKUP($E42,Lists!$C$2:$E$20,3,FALSE)="CLOSED","N/A - Closed",$I42+VLOOKUP($E42,Lists!$C$2:$E$20,3,FALSE)))))</f>
        <v/>
      </c>
      <c r="AE42">
        <f>IF(AND($AC42="Yes",$W42&lt;&gt;"",N($X42)&lt;3),$W42+CHOOSE(N($X42)+1,1,7,14),"")</f>
        <v/>
      </c>
      <c r="AF42" s="12">
        <f>IF($B42="","","")</f>
        <v/>
      </c>
    </row>
    <row r="43">
      <c r="A43" s="11">
        <f>IF($B43="","","YU-"&amp;TEXT(ROW()-3,"0000"))</f>
        <v/>
      </c>
      <c r="B43" s="11" t="n"/>
      <c r="C43" s="11" t="inlineStr">
        <is>
          <t>Discord</t>
        </is>
      </c>
      <c r="D43" s="11" t="n"/>
      <c r="E43" s="11" t="n"/>
      <c r="F43" s="11">
        <f>IF($E43="","",IF($E43="Dead Lead","Black",IF(IF(ISNUMBER($J43),TODAY()-$J43&gt;3,FALSE),"Red",IF($E43="Reactivation Queue","Red",IF(OR($E43="First Deposit",$E43="Active"),"Green","Yellow")))))</f>
        <v/>
      </c>
      <c r="G43" s="11">
        <f>IF($F43="","",IF($F43="Red",1,IF($F43="Yellow",2,IF($F43="Green",3,4))))</f>
        <v/>
      </c>
      <c r="H43" s="14" t="n"/>
      <c r="I43" s="14" t="n"/>
      <c r="J43" s="12">
        <f>IF($E43="","",IF(AND(ISNUMBER($AD43),ISNUMBER($AE43)),MIN($AD43,$AE43),IF(ISNUMBER($AE43),$AE43,$AD43)))</f>
        <v/>
      </c>
      <c r="K43" s="11">
        <f>IF($E43="","",IF($E43="VIP Transferred",IF(N($AB43)&gt;=3,"Should be Dead Lead (3 attempts, still no deposit) - will auto-update","Day "&amp;CHOOSE(N($AB43)+1,1,2,3)&amp;" URGENT VIP check-in - help them finish KYC and lock in first deposit"),IF(AND($D43="",$E43&lt;&gt;"Dead Lead"),IF(N($T43)&gt;=3,"READY FOR DEAD LEAD (3 attempts, still no sign-up)","GET ROOBET SIGN-UP - "&amp;IFERROR(VLOOKUP($E43,Lists!$C$2:$E$20,2,FALSE),"")),IFERROR(VLOOKUP($E43,Lists!$C$2:$E$20,2,FALSE),""))))&amp;IF($AC43="Yes",IF(N($X43)&gt;=3," | VIP Team checkpoints complete - no more automatic check-ins"," | Day "&amp;CHOOSE(N($X43)+1,1,7,14)&amp;" VIP Team check-in - confirm active/depositing"),"")</f>
        <v/>
      </c>
      <c r="L43" s="11" t="n"/>
      <c r="M43" s="11" t="n"/>
      <c r="N43" s="15" t="n"/>
      <c r="O43" s="11">
        <f>IF($E43="","",IF(AND($E43="Active",$F43="Green"),"Yes","No"))</f>
        <v/>
      </c>
      <c r="P43" s="11" t="n"/>
      <c r="Q43">
        <f>IF($I43="","",ROUND(TODAY()-$I43,0))</f>
        <v/>
      </c>
      <c r="R43">
        <f>IF($B43="",0,IF(OR(AND(ISNUMBER($J43),$J43&lt;=TODAY(),$E43&lt;&gt;"Dead Lead"),AND($D43="",$E43&lt;&gt;"",$E43&lt;&gt;"Dead Lead",OR($I43="",$I43&lt;TODAY()))),1,0))</f>
        <v/>
      </c>
      <c r="S43">
        <f>IF($R43=1,SUMPRODUCT(($R$4:$R$203=1)*(($Q$4:$Q$203&gt;$Q43)+(($Q$4:$Q$203=$Q43)*(ROW($Q$4:$Q$203)&lt;ROW($Q43)))))+1,"")</f>
        <v/>
      </c>
      <c r="T43" s="11">
        <f>IF($B43="","",0)</f>
        <v/>
      </c>
      <c r="U43">
        <f>IF($B43="",0,IF($E43="Dead Lead",1,0))</f>
        <v/>
      </c>
      <c r="V43">
        <f>IF($U43=1,SUMPRODUCT(($U$4:$U$203=1)*(($J$4:$J$203&lt;$J43)+(($J$4:$J$203=$J43)*(ROW($J$4:$J$203)&lt;ROW($J43)))))+1,"")</f>
        <v/>
      </c>
      <c r="W43" s="12">
        <f>IF($B43="","","")</f>
        <v/>
      </c>
      <c r="X43" s="11">
        <f>IF($B43="","",0)</f>
        <v/>
      </c>
      <c r="Y43">
        <f>IF($B43="",0,IF(AND($R43=0,$E43&lt;&gt;"Dead Lead",ISNUMBER($J43),$J43&lt;=TODAY()+7),1,0))</f>
        <v/>
      </c>
      <c r="Z43">
        <f>IF($Y43=1,SUMPRODUCT(($Y$4:$Y$203=1)*(($J$4:$J$203&lt;$J43)+(($J$4:$J$203=$J43)*(ROW($J$4:$J$203)&lt;ROW($J43)))))+1,"")</f>
        <v/>
      </c>
      <c r="AA43" s="12">
        <f>IF($B43="","","")</f>
        <v/>
      </c>
      <c r="AB43" s="11">
        <f>IF($B43="","",0)</f>
        <v/>
      </c>
      <c r="AC43" s="11" t="n"/>
      <c r="AD43">
        <f>IF($E43="","",IF($E43="VIP Transferred",IF($AA43="","",IF(N($AB43)&gt;=3,"N/A - Closed",$AA43+CHOOSE(N($AB43)+1,1,2,3))),IF($I43="","",IF(VLOOKUP($E43,Lists!$C$2:$E$20,3,FALSE)="CLOSED","N/A - Closed",$I43+VLOOKUP($E43,Lists!$C$2:$E$20,3,FALSE)))))</f>
        <v/>
      </c>
      <c r="AE43">
        <f>IF(AND($AC43="Yes",$W43&lt;&gt;"",N($X43)&lt;3),$W43+CHOOSE(N($X43)+1,1,7,14),"")</f>
        <v/>
      </c>
      <c r="AF43" s="12">
        <f>IF($B43="","","")</f>
        <v/>
      </c>
    </row>
    <row r="44">
      <c r="A44" s="11">
        <f>IF($B44="","","YU-"&amp;TEXT(ROW()-3,"0000"))</f>
        <v/>
      </c>
      <c r="B44" s="11" t="n"/>
      <c r="C44" s="11" t="inlineStr">
        <is>
          <t>Discord</t>
        </is>
      </c>
      <c r="D44" s="11" t="n"/>
      <c r="E44" s="11" t="n"/>
      <c r="F44" s="11">
        <f>IF($E44="","",IF($E44="Dead Lead","Black",IF(IF(ISNUMBER($J44),TODAY()-$J44&gt;3,FALSE),"Red",IF($E44="Reactivation Queue","Red",IF(OR($E44="First Deposit",$E44="Active"),"Green","Yellow")))))</f>
        <v/>
      </c>
      <c r="G44" s="11">
        <f>IF($F44="","",IF($F44="Red",1,IF($F44="Yellow",2,IF($F44="Green",3,4))))</f>
        <v/>
      </c>
      <c r="H44" s="14" t="n"/>
      <c r="I44" s="14" t="n"/>
      <c r="J44" s="12">
        <f>IF($E44="","",IF(AND(ISNUMBER($AD44),ISNUMBER($AE44)),MIN($AD44,$AE44),IF(ISNUMBER($AE44),$AE44,$AD44)))</f>
        <v/>
      </c>
      <c r="K44" s="11">
        <f>IF($E44="","",IF($E44="VIP Transferred",IF(N($AB44)&gt;=3,"Should be Dead Lead (3 attempts, still no deposit) - will auto-update","Day "&amp;CHOOSE(N($AB44)+1,1,2,3)&amp;" URGENT VIP check-in - help them finish KYC and lock in first deposit"),IF(AND($D44="",$E44&lt;&gt;"Dead Lead"),IF(N($T44)&gt;=3,"READY FOR DEAD LEAD (3 attempts, still no sign-up)","GET ROOBET SIGN-UP - "&amp;IFERROR(VLOOKUP($E44,Lists!$C$2:$E$20,2,FALSE),"")),IFERROR(VLOOKUP($E44,Lists!$C$2:$E$20,2,FALSE),""))))&amp;IF($AC44="Yes",IF(N($X44)&gt;=3," | VIP Team checkpoints complete - no more automatic check-ins"," | Day "&amp;CHOOSE(N($X44)+1,1,7,14)&amp;" VIP Team check-in - confirm active/depositing"),"")</f>
        <v/>
      </c>
      <c r="L44" s="11" t="n"/>
      <c r="M44" s="11" t="n"/>
      <c r="N44" s="15" t="n"/>
      <c r="O44" s="11">
        <f>IF($E44="","",IF(AND($E44="Active",$F44="Green"),"Yes","No"))</f>
        <v/>
      </c>
      <c r="P44" s="11" t="n"/>
      <c r="Q44">
        <f>IF($I44="","",ROUND(TODAY()-$I44,0))</f>
        <v/>
      </c>
      <c r="R44">
        <f>IF($B44="",0,IF(OR(AND(ISNUMBER($J44),$J44&lt;=TODAY(),$E44&lt;&gt;"Dead Lead"),AND($D44="",$E44&lt;&gt;"",$E44&lt;&gt;"Dead Lead",OR($I44="",$I44&lt;TODAY()))),1,0))</f>
        <v/>
      </c>
      <c r="S44">
        <f>IF($R44=1,SUMPRODUCT(($R$4:$R$203=1)*(($Q$4:$Q$203&gt;$Q44)+(($Q$4:$Q$203=$Q44)*(ROW($Q$4:$Q$203)&lt;ROW($Q44)))))+1,"")</f>
        <v/>
      </c>
      <c r="T44" s="11">
        <f>IF($B44="","",0)</f>
        <v/>
      </c>
      <c r="U44">
        <f>IF($B44="",0,IF($E44="Dead Lead",1,0))</f>
        <v/>
      </c>
      <c r="V44">
        <f>IF($U44=1,SUMPRODUCT(($U$4:$U$203=1)*(($J$4:$J$203&lt;$J44)+(($J$4:$J$203=$J44)*(ROW($J$4:$J$203)&lt;ROW($J44)))))+1,"")</f>
        <v/>
      </c>
      <c r="W44" s="12">
        <f>IF($B44="","","")</f>
        <v/>
      </c>
      <c r="X44" s="11">
        <f>IF($B44="","",0)</f>
        <v/>
      </c>
      <c r="Y44">
        <f>IF($B44="",0,IF(AND($R44=0,$E44&lt;&gt;"Dead Lead",ISNUMBER($J44),$J44&lt;=TODAY()+7),1,0))</f>
        <v/>
      </c>
      <c r="Z44">
        <f>IF($Y44=1,SUMPRODUCT(($Y$4:$Y$203=1)*(($J$4:$J$203&lt;$J44)+(($J$4:$J$203=$J44)*(ROW($J$4:$J$203)&lt;ROW($J44)))))+1,"")</f>
        <v/>
      </c>
      <c r="AA44" s="12">
        <f>IF($B44="","","")</f>
        <v/>
      </c>
      <c r="AB44" s="11">
        <f>IF($B44="","",0)</f>
        <v/>
      </c>
      <c r="AC44" s="11" t="n"/>
      <c r="AD44">
        <f>IF($E44="","",IF($E44="VIP Transferred",IF($AA44="","",IF(N($AB44)&gt;=3,"N/A - Closed",$AA44+CHOOSE(N($AB44)+1,1,2,3))),IF($I44="","",IF(VLOOKUP($E44,Lists!$C$2:$E$20,3,FALSE)="CLOSED","N/A - Closed",$I44+VLOOKUP($E44,Lists!$C$2:$E$20,3,FALSE)))))</f>
        <v/>
      </c>
      <c r="AE44">
        <f>IF(AND($AC44="Yes",$W44&lt;&gt;"",N($X44)&lt;3),$W44+CHOOSE(N($X44)+1,1,7,14),"")</f>
        <v/>
      </c>
      <c r="AF44" s="12">
        <f>IF($B44="","","")</f>
        <v/>
      </c>
    </row>
    <row r="45">
      <c r="A45" s="11">
        <f>IF($B45="","","YU-"&amp;TEXT(ROW()-3,"0000"))</f>
        <v/>
      </c>
      <c r="B45" s="11" t="n"/>
      <c r="C45" s="11" t="inlineStr">
        <is>
          <t>Discord</t>
        </is>
      </c>
      <c r="D45" s="11" t="n"/>
      <c r="E45" s="11" t="n"/>
      <c r="F45" s="11">
        <f>IF($E45="","",IF($E45="Dead Lead","Black",IF(IF(ISNUMBER($J45),TODAY()-$J45&gt;3,FALSE),"Red",IF($E45="Reactivation Queue","Red",IF(OR($E45="First Deposit",$E45="Active"),"Green","Yellow")))))</f>
        <v/>
      </c>
      <c r="G45" s="11">
        <f>IF($F45="","",IF($F45="Red",1,IF($F45="Yellow",2,IF($F45="Green",3,4))))</f>
        <v/>
      </c>
      <c r="H45" s="14" t="n"/>
      <c r="I45" s="14" t="n"/>
      <c r="J45" s="12">
        <f>IF($E45="","",IF(AND(ISNUMBER($AD45),ISNUMBER($AE45)),MIN($AD45,$AE45),IF(ISNUMBER($AE45),$AE45,$AD45)))</f>
        <v/>
      </c>
      <c r="K45" s="11">
        <f>IF($E45="","",IF($E45="VIP Transferred",IF(N($AB45)&gt;=3,"Should be Dead Lead (3 attempts, still no deposit) - will auto-update","Day "&amp;CHOOSE(N($AB45)+1,1,2,3)&amp;" URGENT VIP check-in - help them finish KYC and lock in first deposit"),IF(AND($D45="",$E45&lt;&gt;"Dead Lead"),IF(N($T45)&gt;=3,"READY FOR DEAD LEAD (3 attempts, still no sign-up)","GET ROOBET SIGN-UP - "&amp;IFERROR(VLOOKUP($E45,Lists!$C$2:$E$20,2,FALSE),"")),IFERROR(VLOOKUP($E45,Lists!$C$2:$E$20,2,FALSE),""))))&amp;IF($AC45="Yes",IF(N($X45)&gt;=3," | VIP Team checkpoints complete - no more automatic check-ins"," | Day "&amp;CHOOSE(N($X45)+1,1,7,14)&amp;" VIP Team check-in - confirm active/depositing"),"")</f>
        <v/>
      </c>
      <c r="L45" s="11" t="n"/>
      <c r="M45" s="11" t="n"/>
      <c r="N45" s="15" t="n"/>
      <c r="O45" s="11">
        <f>IF($E45="","",IF(AND($E45="Active",$F45="Green"),"Yes","No"))</f>
        <v/>
      </c>
      <c r="P45" s="11" t="n"/>
      <c r="Q45">
        <f>IF($I45="","",ROUND(TODAY()-$I45,0))</f>
        <v/>
      </c>
      <c r="R45">
        <f>IF($B45="",0,IF(OR(AND(ISNUMBER($J45),$J45&lt;=TODAY(),$E45&lt;&gt;"Dead Lead"),AND($D45="",$E45&lt;&gt;"",$E45&lt;&gt;"Dead Lead",OR($I45="",$I45&lt;TODAY()))),1,0))</f>
        <v/>
      </c>
      <c r="S45">
        <f>IF($R45=1,SUMPRODUCT(($R$4:$R$203=1)*(($Q$4:$Q$203&gt;$Q45)+(($Q$4:$Q$203=$Q45)*(ROW($Q$4:$Q$203)&lt;ROW($Q45)))))+1,"")</f>
        <v/>
      </c>
      <c r="T45" s="11">
        <f>IF($B45="","",0)</f>
        <v/>
      </c>
      <c r="U45">
        <f>IF($B45="",0,IF($E45="Dead Lead",1,0))</f>
        <v/>
      </c>
      <c r="V45">
        <f>IF($U45=1,SUMPRODUCT(($U$4:$U$203=1)*(($J$4:$J$203&lt;$J45)+(($J$4:$J$203=$J45)*(ROW($J$4:$J$203)&lt;ROW($J45)))))+1,"")</f>
        <v/>
      </c>
      <c r="W45" s="12">
        <f>IF($B45="","","")</f>
        <v/>
      </c>
      <c r="X45" s="11">
        <f>IF($B45="","",0)</f>
        <v/>
      </c>
      <c r="Y45">
        <f>IF($B45="",0,IF(AND($R45=0,$E45&lt;&gt;"Dead Lead",ISNUMBER($J45),$J45&lt;=TODAY()+7),1,0))</f>
        <v/>
      </c>
      <c r="Z45">
        <f>IF($Y45=1,SUMPRODUCT(($Y$4:$Y$203=1)*(($J$4:$J$203&lt;$J45)+(($J$4:$J$203=$J45)*(ROW($J$4:$J$203)&lt;ROW($J45)))))+1,"")</f>
        <v/>
      </c>
      <c r="AA45" s="12">
        <f>IF($B45="","","")</f>
        <v/>
      </c>
      <c r="AB45" s="11">
        <f>IF($B45="","",0)</f>
        <v/>
      </c>
      <c r="AC45" s="11" t="n"/>
      <c r="AD45">
        <f>IF($E45="","",IF($E45="VIP Transferred",IF($AA45="","",IF(N($AB45)&gt;=3,"N/A - Closed",$AA45+CHOOSE(N($AB45)+1,1,2,3))),IF($I45="","",IF(VLOOKUP($E45,Lists!$C$2:$E$20,3,FALSE)="CLOSED","N/A - Closed",$I45+VLOOKUP($E45,Lists!$C$2:$E$20,3,FALSE)))))</f>
        <v/>
      </c>
      <c r="AE45">
        <f>IF(AND($AC45="Yes",$W45&lt;&gt;"",N($X45)&lt;3),$W45+CHOOSE(N($X45)+1,1,7,14),"")</f>
        <v/>
      </c>
      <c r="AF45" s="12">
        <f>IF($B45="","","")</f>
        <v/>
      </c>
    </row>
    <row r="46">
      <c r="A46" s="11">
        <f>IF($B46="","","YU-"&amp;TEXT(ROW()-3,"0000"))</f>
        <v/>
      </c>
      <c r="B46" s="11" t="n"/>
      <c r="C46" s="11" t="inlineStr">
        <is>
          <t>Discord</t>
        </is>
      </c>
      <c r="D46" s="11" t="n"/>
      <c r="E46" s="11" t="n"/>
      <c r="F46" s="11">
        <f>IF($E46="","",IF($E46="Dead Lead","Black",IF(IF(ISNUMBER($J46),TODAY()-$J46&gt;3,FALSE),"Red",IF($E46="Reactivation Queue","Red",IF(OR($E46="First Deposit",$E46="Active"),"Green","Yellow")))))</f>
        <v/>
      </c>
      <c r="G46" s="11">
        <f>IF($F46="","",IF($F46="Red",1,IF($F46="Yellow",2,IF($F46="Green",3,4))))</f>
        <v/>
      </c>
      <c r="H46" s="14" t="n"/>
      <c r="I46" s="14" t="n"/>
      <c r="J46" s="12">
        <f>IF($E46="","",IF(AND(ISNUMBER($AD46),ISNUMBER($AE46)),MIN($AD46,$AE46),IF(ISNUMBER($AE46),$AE46,$AD46)))</f>
        <v/>
      </c>
      <c r="K46" s="11">
        <f>IF($E46="","",IF($E46="VIP Transferred",IF(N($AB46)&gt;=3,"Should be Dead Lead (3 attempts, still no deposit) - will auto-update","Day "&amp;CHOOSE(N($AB46)+1,1,2,3)&amp;" URGENT VIP check-in - help them finish KYC and lock in first deposit"),IF(AND($D46="",$E46&lt;&gt;"Dead Lead"),IF(N($T46)&gt;=3,"READY FOR DEAD LEAD (3 attempts, still no sign-up)","GET ROOBET SIGN-UP - "&amp;IFERROR(VLOOKUP($E46,Lists!$C$2:$E$20,2,FALSE),"")),IFERROR(VLOOKUP($E46,Lists!$C$2:$E$20,2,FALSE),""))))&amp;IF($AC46="Yes",IF(N($X46)&gt;=3," | VIP Team checkpoints complete - no more automatic check-ins"," | Day "&amp;CHOOSE(N($X46)+1,1,7,14)&amp;" VIP Team check-in - confirm active/depositing"),"")</f>
        <v/>
      </c>
      <c r="L46" s="11" t="n"/>
      <c r="M46" s="11" t="n"/>
      <c r="N46" s="15" t="n"/>
      <c r="O46" s="11">
        <f>IF($E46="","",IF(AND($E46="Active",$F46="Green"),"Yes","No"))</f>
        <v/>
      </c>
      <c r="P46" s="11" t="n"/>
      <c r="Q46">
        <f>IF($I46="","",ROUND(TODAY()-$I46,0))</f>
        <v/>
      </c>
      <c r="R46">
        <f>IF($B46="",0,IF(OR(AND(ISNUMBER($J46),$J46&lt;=TODAY(),$E46&lt;&gt;"Dead Lead"),AND($D46="",$E46&lt;&gt;"",$E46&lt;&gt;"Dead Lead",OR($I46="",$I46&lt;TODAY()))),1,0))</f>
        <v/>
      </c>
      <c r="S46">
        <f>IF($R46=1,SUMPRODUCT(($R$4:$R$203=1)*(($Q$4:$Q$203&gt;$Q46)+(($Q$4:$Q$203=$Q46)*(ROW($Q$4:$Q$203)&lt;ROW($Q46)))))+1,"")</f>
        <v/>
      </c>
      <c r="T46" s="11">
        <f>IF($B46="","",0)</f>
        <v/>
      </c>
      <c r="U46">
        <f>IF($B46="",0,IF($E46="Dead Lead",1,0))</f>
        <v/>
      </c>
      <c r="V46">
        <f>IF($U46=1,SUMPRODUCT(($U$4:$U$203=1)*(($J$4:$J$203&lt;$J46)+(($J$4:$J$203=$J46)*(ROW($J$4:$J$203)&lt;ROW($J46)))))+1,"")</f>
        <v/>
      </c>
      <c r="W46" s="12">
        <f>IF($B46="","","")</f>
        <v/>
      </c>
      <c r="X46" s="11">
        <f>IF($B46="","",0)</f>
        <v/>
      </c>
      <c r="Y46">
        <f>IF($B46="",0,IF(AND($R46=0,$E46&lt;&gt;"Dead Lead",ISNUMBER($J46),$J46&lt;=TODAY()+7),1,0))</f>
        <v/>
      </c>
      <c r="Z46">
        <f>IF($Y46=1,SUMPRODUCT(($Y$4:$Y$203=1)*(($J$4:$J$203&lt;$J46)+(($J$4:$J$203=$J46)*(ROW($J$4:$J$203)&lt;ROW($J46)))))+1,"")</f>
        <v/>
      </c>
      <c r="AA46" s="12">
        <f>IF($B46="","","")</f>
        <v/>
      </c>
      <c r="AB46" s="11">
        <f>IF($B46="","",0)</f>
        <v/>
      </c>
      <c r="AC46" s="11" t="n"/>
      <c r="AD46">
        <f>IF($E46="","",IF($E46="VIP Transferred",IF($AA46="","",IF(N($AB46)&gt;=3,"N/A - Closed",$AA46+CHOOSE(N($AB46)+1,1,2,3))),IF($I46="","",IF(VLOOKUP($E46,Lists!$C$2:$E$20,3,FALSE)="CLOSED","N/A - Closed",$I46+VLOOKUP($E46,Lists!$C$2:$E$20,3,FALSE)))))</f>
        <v/>
      </c>
      <c r="AE46">
        <f>IF(AND($AC46="Yes",$W46&lt;&gt;"",N($X46)&lt;3),$W46+CHOOSE(N($X46)+1,1,7,14),"")</f>
        <v/>
      </c>
      <c r="AF46" s="12">
        <f>IF($B46="","","")</f>
        <v/>
      </c>
    </row>
    <row r="47">
      <c r="A47" s="11">
        <f>IF($B47="","","YU-"&amp;TEXT(ROW()-3,"0000"))</f>
        <v/>
      </c>
      <c r="B47" s="11" t="n"/>
      <c r="C47" s="11" t="inlineStr">
        <is>
          <t>Discord</t>
        </is>
      </c>
      <c r="D47" s="11" t="n"/>
      <c r="E47" s="11" t="n"/>
      <c r="F47" s="11">
        <f>IF($E47="","",IF($E47="Dead Lead","Black",IF(IF(ISNUMBER($J47),TODAY()-$J47&gt;3,FALSE),"Red",IF($E47="Reactivation Queue","Red",IF(OR($E47="First Deposit",$E47="Active"),"Green","Yellow")))))</f>
        <v/>
      </c>
      <c r="G47" s="11">
        <f>IF($F47="","",IF($F47="Red",1,IF($F47="Yellow",2,IF($F47="Green",3,4))))</f>
        <v/>
      </c>
      <c r="H47" s="14" t="n"/>
      <c r="I47" s="14" t="n"/>
      <c r="J47" s="12">
        <f>IF($E47="","",IF(AND(ISNUMBER($AD47),ISNUMBER($AE47)),MIN($AD47,$AE47),IF(ISNUMBER($AE47),$AE47,$AD47)))</f>
        <v/>
      </c>
      <c r="K47" s="11">
        <f>IF($E47="","",IF($E47="VIP Transferred",IF(N($AB47)&gt;=3,"Should be Dead Lead (3 attempts, still no deposit) - will auto-update","Day "&amp;CHOOSE(N($AB47)+1,1,2,3)&amp;" URGENT VIP check-in - help them finish KYC and lock in first deposit"),IF(AND($D47="",$E47&lt;&gt;"Dead Lead"),IF(N($T47)&gt;=3,"READY FOR DEAD LEAD (3 attempts, still no sign-up)","GET ROOBET SIGN-UP - "&amp;IFERROR(VLOOKUP($E47,Lists!$C$2:$E$20,2,FALSE),"")),IFERROR(VLOOKUP($E47,Lists!$C$2:$E$20,2,FALSE),""))))&amp;IF($AC47="Yes",IF(N($X47)&gt;=3," | VIP Team checkpoints complete - no more automatic check-ins"," | Day "&amp;CHOOSE(N($X47)+1,1,7,14)&amp;" VIP Team check-in - confirm active/depositing"),"")</f>
        <v/>
      </c>
      <c r="L47" s="11" t="n"/>
      <c r="M47" s="11" t="n"/>
      <c r="N47" s="15" t="n"/>
      <c r="O47" s="11">
        <f>IF($E47="","",IF(AND($E47="Active",$F47="Green"),"Yes","No"))</f>
        <v/>
      </c>
      <c r="P47" s="11" t="n"/>
      <c r="Q47">
        <f>IF($I47="","",ROUND(TODAY()-$I47,0))</f>
        <v/>
      </c>
      <c r="R47">
        <f>IF($B47="",0,IF(OR(AND(ISNUMBER($J47),$J47&lt;=TODAY(),$E47&lt;&gt;"Dead Lead"),AND($D47="",$E47&lt;&gt;"",$E47&lt;&gt;"Dead Lead",OR($I47="",$I47&lt;TODAY()))),1,0))</f>
        <v/>
      </c>
      <c r="S47">
        <f>IF($R47=1,SUMPRODUCT(($R$4:$R$203=1)*(($Q$4:$Q$203&gt;$Q47)+(($Q$4:$Q$203=$Q47)*(ROW($Q$4:$Q$203)&lt;ROW($Q47)))))+1,"")</f>
        <v/>
      </c>
      <c r="T47" s="11">
        <f>IF($B47="","",0)</f>
        <v/>
      </c>
      <c r="U47">
        <f>IF($B47="",0,IF($E47="Dead Lead",1,0))</f>
        <v/>
      </c>
      <c r="V47">
        <f>IF($U47=1,SUMPRODUCT(($U$4:$U$203=1)*(($J$4:$J$203&lt;$J47)+(($J$4:$J$203=$J47)*(ROW($J$4:$J$203)&lt;ROW($J47)))))+1,"")</f>
        <v/>
      </c>
      <c r="W47" s="12">
        <f>IF($B47="","","")</f>
        <v/>
      </c>
      <c r="X47" s="11">
        <f>IF($B47="","",0)</f>
        <v/>
      </c>
      <c r="Y47">
        <f>IF($B47="",0,IF(AND($R47=0,$E47&lt;&gt;"Dead Lead",ISNUMBER($J47),$J47&lt;=TODAY()+7),1,0))</f>
        <v/>
      </c>
      <c r="Z47">
        <f>IF($Y47=1,SUMPRODUCT(($Y$4:$Y$203=1)*(($J$4:$J$203&lt;$J47)+(($J$4:$J$203=$J47)*(ROW($J$4:$J$203)&lt;ROW($J47)))))+1,"")</f>
        <v/>
      </c>
      <c r="AA47" s="12">
        <f>IF($B47="","","")</f>
        <v/>
      </c>
      <c r="AB47" s="11">
        <f>IF($B47="","",0)</f>
        <v/>
      </c>
      <c r="AC47" s="11" t="n"/>
      <c r="AD47">
        <f>IF($E47="","",IF($E47="VIP Transferred",IF($AA47="","",IF(N($AB47)&gt;=3,"N/A - Closed",$AA47+CHOOSE(N($AB47)+1,1,2,3))),IF($I47="","",IF(VLOOKUP($E47,Lists!$C$2:$E$20,3,FALSE)="CLOSED","N/A - Closed",$I47+VLOOKUP($E47,Lists!$C$2:$E$20,3,FALSE)))))</f>
        <v/>
      </c>
      <c r="AE47">
        <f>IF(AND($AC47="Yes",$W47&lt;&gt;"",N($X47)&lt;3),$W47+CHOOSE(N($X47)+1,1,7,14),"")</f>
        <v/>
      </c>
      <c r="AF47" s="12">
        <f>IF($B47="","","")</f>
        <v/>
      </c>
    </row>
    <row r="48">
      <c r="A48" s="11">
        <f>IF($B48="","","YU-"&amp;TEXT(ROW()-3,"0000"))</f>
        <v/>
      </c>
      <c r="B48" s="11" t="n"/>
      <c r="C48" s="11" t="inlineStr">
        <is>
          <t>Discord</t>
        </is>
      </c>
      <c r="D48" s="11" t="n"/>
      <c r="E48" s="11" t="n"/>
      <c r="F48" s="11">
        <f>IF($E48="","",IF($E48="Dead Lead","Black",IF(IF(ISNUMBER($J48),TODAY()-$J48&gt;3,FALSE),"Red",IF($E48="Reactivation Queue","Red",IF(OR($E48="First Deposit",$E48="Active"),"Green","Yellow")))))</f>
        <v/>
      </c>
      <c r="G48" s="11">
        <f>IF($F48="","",IF($F48="Red",1,IF($F48="Yellow",2,IF($F48="Green",3,4))))</f>
        <v/>
      </c>
      <c r="H48" s="14" t="n"/>
      <c r="I48" s="14" t="n"/>
      <c r="J48" s="12">
        <f>IF($E48="","",IF(AND(ISNUMBER($AD48),ISNUMBER($AE48)),MIN($AD48,$AE48),IF(ISNUMBER($AE48),$AE48,$AD48)))</f>
        <v/>
      </c>
      <c r="K48" s="11">
        <f>IF($E48="","",IF($E48="VIP Transferred",IF(N($AB48)&gt;=3,"Should be Dead Lead (3 attempts, still no deposit) - will auto-update","Day "&amp;CHOOSE(N($AB48)+1,1,2,3)&amp;" URGENT VIP check-in - help them finish KYC and lock in first deposit"),IF(AND($D48="",$E48&lt;&gt;"Dead Lead"),IF(N($T48)&gt;=3,"READY FOR DEAD LEAD (3 attempts, still no sign-up)","GET ROOBET SIGN-UP - "&amp;IFERROR(VLOOKUP($E48,Lists!$C$2:$E$20,2,FALSE),"")),IFERROR(VLOOKUP($E48,Lists!$C$2:$E$20,2,FALSE),""))))&amp;IF($AC48="Yes",IF(N($X48)&gt;=3," | VIP Team checkpoints complete - no more automatic check-ins"," | Day "&amp;CHOOSE(N($X48)+1,1,7,14)&amp;" VIP Team check-in - confirm active/depositing"),"")</f>
        <v/>
      </c>
      <c r="L48" s="11" t="n"/>
      <c r="M48" s="11" t="n"/>
      <c r="N48" s="15" t="n"/>
      <c r="O48" s="11">
        <f>IF($E48="","",IF(AND($E48="Active",$F48="Green"),"Yes","No"))</f>
        <v/>
      </c>
      <c r="P48" s="11" t="n"/>
      <c r="Q48">
        <f>IF($I48="","",ROUND(TODAY()-$I48,0))</f>
        <v/>
      </c>
      <c r="R48">
        <f>IF($B48="",0,IF(OR(AND(ISNUMBER($J48),$J48&lt;=TODAY(),$E48&lt;&gt;"Dead Lead"),AND($D48="",$E48&lt;&gt;"",$E48&lt;&gt;"Dead Lead",OR($I48="",$I48&lt;TODAY()))),1,0))</f>
        <v/>
      </c>
      <c r="S48">
        <f>IF($R48=1,SUMPRODUCT(($R$4:$R$203=1)*(($Q$4:$Q$203&gt;$Q48)+(($Q$4:$Q$203=$Q48)*(ROW($Q$4:$Q$203)&lt;ROW($Q48)))))+1,"")</f>
        <v/>
      </c>
      <c r="T48" s="11">
        <f>IF($B48="","",0)</f>
        <v/>
      </c>
      <c r="U48">
        <f>IF($B48="",0,IF($E48="Dead Lead",1,0))</f>
        <v/>
      </c>
      <c r="V48">
        <f>IF($U48=1,SUMPRODUCT(($U$4:$U$203=1)*(($J$4:$J$203&lt;$J48)+(($J$4:$J$203=$J48)*(ROW($J$4:$J$203)&lt;ROW($J48)))))+1,"")</f>
        <v/>
      </c>
      <c r="W48" s="12">
        <f>IF($B48="","","")</f>
        <v/>
      </c>
      <c r="X48" s="11">
        <f>IF($B48="","",0)</f>
        <v/>
      </c>
      <c r="Y48">
        <f>IF($B48="",0,IF(AND($R48=0,$E48&lt;&gt;"Dead Lead",ISNUMBER($J48),$J48&lt;=TODAY()+7),1,0))</f>
        <v/>
      </c>
      <c r="Z48">
        <f>IF($Y48=1,SUMPRODUCT(($Y$4:$Y$203=1)*(($J$4:$J$203&lt;$J48)+(($J$4:$J$203=$J48)*(ROW($J$4:$J$203)&lt;ROW($J48)))))+1,"")</f>
        <v/>
      </c>
      <c r="AA48" s="12">
        <f>IF($B48="","","")</f>
        <v/>
      </c>
      <c r="AB48" s="11">
        <f>IF($B48="","",0)</f>
        <v/>
      </c>
      <c r="AC48" s="11" t="n"/>
      <c r="AD48">
        <f>IF($E48="","",IF($E48="VIP Transferred",IF($AA48="","",IF(N($AB48)&gt;=3,"N/A - Closed",$AA48+CHOOSE(N($AB48)+1,1,2,3))),IF($I48="","",IF(VLOOKUP($E48,Lists!$C$2:$E$20,3,FALSE)="CLOSED","N/A - Closed",$I48+VLOOKUP($E48,Lists!$C$2:$E$20,3,FALSE)))))</f>
        <v/>
      </c>
      <c r="AE48">
        <f>IF(AND($AC48="Yes",$W48&lt;&gt;"",N($X48)&lt;3),$W48+CHOOSE(N($X48)+1,1,7,14),"")</f>
        <v/>
      </c>
      <c r="AF48" s="12">
        <f>IF($B48="","","")</f>
        <v/>
      </c>
    </row>
    <row r="49">
      <c r="A49" s="11">
        <f>IF($B49="","","YU-"&amp;TEXT(ROW()-3,"0000"))</f>
        <v/>
      </c>
      <c r="B49" s="11" t="n"/>
      <c r="C49" s="11" t="inlineStr">
        <is>
          <t>Discord</t>
        </is>
      </c>
      <c r="D49" s="11" t="n"/>
      <c r="E49" s="11" t="n"/>
      <c r="F49" s="11">
        <f>IF($E49="","",IF($E49="Dead Lead","Black",IF(IF(ISNUMBER($J49),TODAY()-$J49&gt;3,FALSE),"Red",IF($E49="Reactivation Queue","Red",IF(OR($E49="First Deposit",$E49="Active"),"Green","Yellow")))))</f>
        <v/>
      </c>
      <c r="G49" s="11">
        <f>IF($F49="","",IF($F49="Red",1,IF($F49="Yellow",2,IF($F49="Green",3,4))))</f>
        <v/>
      </c>
      <c r="H49" s="14" t="n"/>
      <c r="I49" s="14" t="n"/>
      <c r="J49" s="12">
        <f>IF($E49="","",IF(AND(ISNUMBER($AD49),ISNUMBER($AE49)),MIN($AD49,$AE49),IF(ISNUMBER($AE49),$AE49,$AD49)))</f>
        <v/>
      </c>
      <c r="K49" s="11">
        <f>IF($E49="","",IF($E49="VIP Transferred",IF(N($AB49)&gt;=3,"Should be Dead Lead (3 attempts, still no deposit) - will auto-update","Day "&amp;CHOOSE(N($AB49)+1,1,2,3)&amp;" URGENT VIP check-in - help them finish KYC and lock in first deposit"),IF(AND($D49="",$E49&lt;&gt;"Dead Lead"),IF(N($T49)&gt;=3,"READY FOR DEAD LEAD (3 attempts, still no sign-up)","GET ROOBET SIGN-UP - "&amp;IFERROR(VLOOKUP($E49,Lists!$C$2:$E$20,2,FALSE),"")),IFERROR(VLOOKUP($E49,Lists!$C$2:$E$20,2,FALSE),""))))&amp;IF($AC49="Yes",IF(N($X49)&gt;=3," | VIP Team checkpoints complete - no more automatic check-ins"," | Day "&amp;CHOOSE(N($X49)+1,1,7,14)&amp;" VIP Team check-in - confirm active/depositing"),"")</f>
        <v/>
      </c>
      <c r="L49" s="11" t="n"/>
      <c r="M49" s="11" t="n"/>
      <c r="N49" s="15" t="n"/>
      <c r="O49" s="11">
        <f>IF($E49="","",IF(AND($E49="Active",$F49="Green"),"Yes","No"))</f>
        <v/>
      </c>
      <c r="P49" s="11" t="n"/>
      <c r="Q49">
        <f>IF($I49="","",ROUND(TODAY()-$I49,0))</f>
        <v/>
      </c>
      <c r="R49">
        <f>IF($B49="",0,IF(OR(AND(ISNUMBER($J49),$J49&lt;=TODAY(),$E49&lt;&gt;"Dead Lead"),AND($D49="",$E49&lt;&gt;"",$E49&lt;&gt;"Dead Lead",OR($I49="",$I49&lt;TODAY()))),1,0))</f>
        <v/>
      </c>
      <c r="S49">
        <f>IF($R49=1,SUMPRODUCT(($R$4:$R$203=1)*(($Q$4:$Q$203&gt;$Q49)+(($Q$4:$Q$203=$Q49)*(ROW($Q$4:$Q$203)&lt;ROW($Q49)))))+1,"")</f>
        <v/>
      </c>
      <c r="T49" s="11">
        <f>IF($B49="","",0)</f>
        <v/>
      </c>
      <c r="U49">
        <f>IF($B49="",0,IF($E49="Dead Lead",1,0))</f>
        <v/>
      </c>
      <c r="V49">
        <f>IF($U49=1,SUMPRODUCT(($U$4:$U$203=1)*(($J$4:$J$203&lt;$J49)+(($J$4:$J$203=$J49)*(ROW($J$4:$J$203)&lt;ROW($J49)))))+1,"")</f>
        <v/>
      </c>
      <c r="W49" s="12">
        <f>IF($B49="","","")</f>
        <v/>
      </c>
      <c r="X49" s="11">
        <f>IF($B49="","",0)</f>
        <v/>
      </c>
      <c r="Y49">
        <f>IF($B49="",0,IF(AND($R49=0,$E49&lt;&gt;"Dead Lead",ISNUMBER($J49),$J49&lt;=TODAY()+7),1,0))</f>
        <v/>
      </c>
      <c r="Z49">
        <f>IF($Y49=1,SUMPRODUCT(($Y$4:$Y$203=1)*(($J$4:$J$203&lt;$J49)+(($J$4:$J$203=$J49)*(ROW($J$4:$J$203)&lt;ROW($J49)))))+1,"")</f>
        <v/>
      </c>
      <c r="AA49" s="12">
        <f>IF($B49="","","")</f>
        <v/>
      </c>
      <c r="AB49" s="11">
        <f>IF($B49="","",0)</f>
        <v/>
      </c>
      <c r="AC49" s="11" t="n"/>
      <c r="AD49">
        <f>IF($E49="","",IF($E49="VIP Transferred",IF($AA49="","",IF(N($AB49)&gt;=3,"N/A - Closed",$AA49+CHOOSE(N($AB49)+1,1,2,3))),IF($I49="","",IF(VLOOKUP($E49,Lists!$C$2:$E$20,3,FALSE)="CLOSED","N/A - Closed",$I49+VLOOKUP($E49,Lists!$C$2:$E$20,3,FALSE)))))</f>
        <v/>
      </c>
      <c r="AE49">
        <f>IF(AND($AC49="Yes",$W49&lt;&gt;"",N($X49)&lt;3),$W49+CHOOSE(N($X49)+1,1,7,14),"")</f>
        <v/>
      </c>
      <c r="AF49" s="12">
        <f>IF($B49="","","")</f>
        <v/>
      </c>
    </row>
    <row r="50">
      <c r="A50" s="11">
        <f>IF($B50="","","YU-"&amp;TEXT(ROW()-3,"0000"))</f>
        <v/>
      </c>
      <c r="B50" s="11" t="n"/>
      <c r="C50" s="11" t="inlineStr">
        <is>
          <t>Discord</t>
        </is>
      </c>
      <c r="D50" s="11" t="n"/>
      <c r="E50" s="11" t="n"/>
      <c r="F50" s="11">
        <f>IF($E50="","",IF($E50="Dead Lead","Black",IF(IF(ISNUMBER($J50),TODAY()-$J50&gt;3,FALSE),"Red",IF($E50="Reactivation Queue","Red",IF(OR($E50="First Deposit",$E50="Active"),"Green","Yellow")))))</f>
        <v/>
      </c>
      <c r="G50" s="11">
        <f>IF($F50="","",IF($F50="Red",1,IF($F50="Yellow",2,IF($F50="Green",3,4))))</f>
        <v/>
      </c>
      <c r="H50" s="14" t="n"/>
      <c r="I50" s="14" t="n"/>
      <c r="J50" s="12">
        <f>IF($E50="","",IF(AND(ISNUMBER($AD50),ISNUMBER($AE50)),MIN($AD50,$AE50),IF(ISNUMBER($AE50),$AE50,$AD50)))</f>
        <v/>
      </c>
      <c r="K50" s="11">
        <f>IF($E50="","",IF($E50="VIP Transferred",IF(N($AB50)&gt;=3,"Should be Dead Lead (3 attempts, still no deposit) - will auto-update","Day "&amp;CHOOSE(N($AB50)+1,1,2,3)&amp;" URGENT VIP check-in - help them finish KYC and lock in first deposit"),IF(AND($D50="",$E50&lt;&gt;"Dead Lead"),IF(N($T50)&gt;=3,"READY FOR DEAD LEAD (3 attempts, still no sign-up)","GET ROOBET SIGN-UP - "&amp;IFERROR(VLOOKUP($E50,Lists!$C$2:$E$20,2,FALSE),"")),IFERROR(VLOOKUP($E50,Lists!$C$2:$E$20,2,FALSE),""))))&amp;IF($AC50="Yes",IF(N($X50)&gt;=3," | VIP Team checkpoints complete - no more automatic check-ins"," | Day "&amp;CHOOSE(N($X50)+1,1,7,14)&amp;" VIP Team check-in - confirm active/depositing"),"")</f>
        <v/>
      </c>
      <c r="L50" s="11" t="n"/>
      <c r="M50" s="11" t="n"/>
      <c r="N50" s="15" t="n"/>
      <c r="O50" s="11">
        <f>IF($E50="","",IF(AND($E50="Active",$F50="Green"),"Yes","No"))</f>
        <v/>
      </c>
      <c r="P50" s="11" t="n"/>
      <c r="Q50">
        <f>IF($I50="","",ROUND(TODAY()-$I50,0))</f>
        <v/>
      </c>
      <c r="R50">
        <f>IF($B50="",0,IF(OR(AND(ISNUMBER($J50),$J50&lt;=TODAY(),$E50&lt;&gt;"Dead Lead"),AND($D50="",$E50&lt;&gt;"",$E50&lt;&gt;"Dead Lead",OR($I50="",$I50&lt;TODAY()))),1,0))</f>
        <v/>
      </c>
      <c r="S50">
        <f>IF($R50=1,SUMPRODUCT(($R$4:$R$203=1)*(($Q$4:$Q$203&gt;$Q50)+(($Q$4:$Q$203=$Q50)*(ROW($Q$4:$Q$203)&lt;ROW($Q50)))))+1,"")</f>
        <v/>
      </c>
      <c r="T50" s="11">
        <f>IF($B50="","",0)</f>
        <v/>
      </c>
      <c r="U50">
        <f>IF($B50="",0,IF($E50="Dead Lead",1,0))</f>
        <v/>
      </c>
      <c r="V50">
        <f>IF($U50=1,SUMPRODUCT(($U$4:$U$203=1)*(($J$4:$J$203&lt;$J50)+(($J$4:$J$203=$J50)*(ROW($J$4:$J$203)&lt;ROW($J50)))))+1,"")</f>
        <v/>
      </c>
      <c r="W50" s="12">
        <f>IF($B50="","","")</f>
        <v/>
      </c>
      <c r="X50" s="11">
        <f>IF($B50="","",0)</f>
        <v/>
      </c>
      <c r="Y50">
        <f>IF($B50="",0,IF(AND($R50=0,$E50&lt;&gt;"Dead Lead",ISNUMBER($J50),$J50&lt;=TODAY()+7),1,0))</f>
        <v/>
      </c>
      <c r="Z50">
        <f>IF($Y50=1,SUMPRODUCT(($Y$4:$Y$203=1)*(($J$4:$J$203&lt;$J50)+(($J$4:$J$203=$J50)*(ROW($J$4:$J$203)&lt;ROW($J50)))))+1,"")</f>
        <v/>
      </c>
      <c r="AA50" s="12">
        <f>IF($B50="","","")</f>
        <v/>
      </c>
      <c r="AB50" s="11">
        <f>IF($B50="","",0)</f>
        <v/>
      </c>
      <c r="AC50" s="11" t="n"/>
      <c r="AD50">
        <f>IF($E50="","",IF($E50="VIP Transferred",IF($AA50="","",IF(N($AB50)&gt;=3,"N/A - Closed",$AA50+CHOOSE(N($AB50)+1,1,2,3))),IF($I50="","",IF(VLOOKUP($E50,Lists!$C$2:$E$20,3,FALSE)="CLOSED","N/A - Closed",$I50+VLOOKUP($E50,Lists!$C$2:$E$20,3,FALSE)))))</f>
        <v/>
      </c>
      <c r="AE50">
        <f>IF(AND($AC50="Yes",$W50&lt;&gt;"",N($X50)&lt;3),$W50+CHOOSE(N($X50)+1,1,7,14),"")</f>
        <v/>
      </c>
      <c r="AF50" s="12">
        <f>IF($B50="","","")</f>
        <v/>
      </c>
    </row>
    <row r="51">
      <c r="A51" s="11">
        <f>IF($B51="","","YU-"&amp;TEXT(ROW()-3,"0000"))</f>
        <v/>
      </c>
      <c r="B51" s="11" t="n"/>
      <c r="C51" s="11" t="inlineStr">
        <is>
          <t>Discord</t>
        </is>
      </c>
      <c r="D51" s="11" t="n"/>
      <c r="E51" s="11" t="n"/>
      <c r="F51" s="11">
        <f>IF($E51="","",IF($E51="Dead Lead","Black",IF(IF(ISNUMBER($J51),TODAY()-$J51&gt;3,FALSE),"Red",IF($E51="Reactivation Queue","Red",IF(OR($E51="First Deposit",$E51="Active"),"Green","Yellow")))))</f>
        <v/>
      </c>
      <c r="G51" s="11">
        <f>IF($F51="","",IF($F51="Red",1,IF($F51="Yellow",2,IF($F51="Green",3,4))))</f>
        <v/>
      </c>
      <c r="H51" s="14" t="n"/>
      <c r="I51" s="14" t="n"/>
      <c r="J51" s="12">
        <f>IF($E51="","",IF(AND(ISNUMBER($AD51),ISNUMBER($AE51)),MIN($AD51,$AE51),IF(ISNUMBER($AE51),$AE51,$AD51)))</f>
        <v/>
      </c>
      <c r="K51" s="11">
        <f>IF($E51="","",IF($E51="VIP Transferred",IF(N($AB51)&gt;=3,"Should be Dead Lead (3 attempts, still no deposit) - will auto-update","Day "&amp;CHOOSE(N($AB51)+1,1,2,3)&amp;" URGENT VIP check-in - help them finish KYC and lock in first deposit"),IF(AND($D51="",$E51&lt;&gt;"Dead Lead"),IF(N($T51)&gt;=3,"READY FOR DEAD LEAD (3 attempts, still no sign-up)","GET ROOBET SIGN-UP - "&amp;IFERROR(VLOOKUP($E51,Lists!$C$2:$E$20,2,FALSE),"")),IFERROR(VLOOKUP($E51,Lists!$C$2:$E$20,2,FALSE),""))))&amp;IF($AC51="Yes",IF(N($X51)&gt;=3," | VIP Team checkpoints complete - no more automatic check-ins"," | Day "&amp;CHOOSE(N($X51)+1,1,7,14)&amp;" VIP Team check-in - confirm active/depositing"),"")</f>
        <v/>
      </c>
      <c r="L51" s="11" t="n"/>
      <c r="M51" s="11" t="n"/>
      <c r="N51" s="15" t="n"/>
      <c r="O51" s="11">
        <f>IF($E51="","",IF(AND($E51="Active",$F51="Green"),"Yes","No"))</f>
        <v/>
      </c>
      <c r="P51" s="11" t="n"/>
      <c r="Q51">
        <f>IF($I51="","",ROUND(TODAY()-$I51,0))</f>
        <v/>
      </c>
      <c r="R51">
        <f>IF($B51="",0,IF(OR(AND(ISNUMBER($J51),$J51&lt;=TODAY(),$E51&lt;&gt;"Dead Lead"),AND($D51="",$E51&lt;&gt;"",$E51&lt;&gt;"Dead Lead",OR($I51="",$I51&lt;TODAY()))),1,0))</f>
        <v/>
      </c>
      <c r="S51">
        <f>IF($R51=1,SUMPRODUCT(($R$4:$R$203=1)*(($Q$4:$Q$203&gt;$Q51)+(($Q$4:$Q$203=$Q51)*(ROW($Q$4:$Q$203)&lt;ROW($Q51)))))+1,"")</f>
        <v/>
      </c>
      <c r="T51" s="11">
        <f>IF($B51="","",0)</f>
        <v/>
      </c>
      <c r="U51">
        <f>IF($B51="",0,IF($E51="Dead Lead",1,0))</f>
        <v/>
      </c>
      <c r="V51">
        <f>IF($U51=1,SUMPRODUCT(($U$4:$U$203=1)*(($J$4:$J$203&lt;$J51)+(($J$4:$J$203=$J51)*(ROW($J$4:$J$203)&lt;ROW($J51)))))+1,"")</f>
        <v/>
      </c>
      <c r="W51" s="12">
        <f>IF($B51="","","")</f>
        <v/>
      </c>
      <c r="X51" s="11">
        <f>IF($B51="","",0)</f>
        <v/>
      </c>
      <c r="Y51">
        <f>IF($B51="",0,IF(AND($R51=0,$E51&lt;&gt;"Dead Lead",ISNUMBER($J51),$J51&lt;=TODAY()+7),1,0))</f>
        <v/>
      </c>
      <c r="Z51">
        <f>IF($Y51=1,SUMPRODUCT(($Y$4:$Y$203=1)*(($J$4:$J$203&lt;$J51)+(($J$4:$J$203=$J51)*(ROW($J$4:$J$203)&lt;ROW($J51)))))+1,"")</f>
        <v/>
      </c>
      <c r="AA51" s="12">
        <f>IF($B51="","","")</f>
        <v/>
      </c>
      <c r="AB51" s="11">
        <f>IF($B51="","",0)</f>
        <v/>
      </c>
      <c r="AC51" s="11" t="n"/>
      <c r="AD51">
        <f>IF($E51="","",IF($E51="VIP Transferred",IF($AA51="","",IF(N($AB51)&gt;=3,"N/A - Closed",$AA51+CHOOSE(N($AB51)+1,1,2,3))),IF($I51="","",IF(VLOOKUP($E51,Lists!$C$2:$E$20,3,FALSE)="CLOSED","N/A - Closed",$I51+VLOOKUP($E51,Lists!$C$2:$E$20,3,FALSE)))))</f>
        <v/>
      </c>
      <c r="AE51">
        <f>IF(AND($AC51="Yes",$W51&lt;&gt;"",N($X51)&lt;3),$W51+CHOOSE(N($X51)+1,1,7,14),"")</f>
        <v/>
      </c>
      <c r="AF51" s="12">
        <f>IF($B51="","","")</f>
        <v/>
      </c>
    </row>
    <row r="52">
      <c r="A52" s="11">
        <f>IF($B52="","","YU-"&amp;TEXT(ROW()-3,"0000"))</f>
        <v/>
      </c>
      <c r="B52" s="11" t="n"/>
      <c r="C52" s="11" t="inlineStr">
        <is>
          <t>Discord</t>
        </is>
      </c>
      <c r="D52" s="11" t="n"/>
      <c r="E52" s="11" t="n"/>
      <c r="F52" s="11">
        <f>IF($E52="","",IF($E52="Dead Lead","Black",IF(IF(ISNUMBER($J52),TODAY()-$J52&gt;3,FALSE),"Red",IF($E52="Reactivation Queue","Red",IF(OR($E52="First Deposit",$E52="Active"),"Green","Yellow")))))</f>
        <v/>
      </c>
      <c r="G52" s="11">
        <f>IF($F52="","",IF($F52="Red",1,IF($F52="Yellow",2,IF($F52="Green",3,4))))</f>
        <v/>
      </c>
      <c r="H52" s="14" t="n"/>
      <c r="I52" s="14" t="n"/>
      <c r="J52" s="12">
        <f>IF($E52="","",IF(AND(ISNUMBER($AD52),ISNUMBER($AE52)),MIN($AD52,$AE52),IF(ISNUMBER($AE52),$AE52,$AD52)))</f>
        <v/>
      </c>
      <c r="K52" s="11">
        <f>IF($E52="","",IF($E52="VIP Transferred",IF(N($AB52)&gt;=3,"Should be Dead Lead (3 attempts, still no deposit) - will auto-update","Day "&amp;CHOOSE(N($AB52)+1,1,2,3)&amp;" URGENT VIP check-in - help them finish KYC and lock in first deposit"),IF(AND($D52="",$E52&lt;&gt;"Dead Lead"),IF(N($T52)&gt;=3,"READY FOR DEAD LEAD (3 attempts, still no sign-up)","GET ROOBET SIGN-UP - "&amp;IFERROR(VLOOKUP($E52,Lists!$C$2:$E$20,2,FALSE),"")),IFERROR(VLOOKUP($E52,Lists!$C$2:$E$20,2,FALSE),""))))&amp;IF($AC52="Yes",IF(N($X52)&gt;=3," | VIP Team checkpoints complete - no more automatic check-ins"," | Day "&amp;CHOOSE(N($X52)+1,1,7,14)&amp;" VIP Team check-in - confirm active/depositing"),"")</f>
        <v/>
      </c>
      <c r="L52" s="11" t="n"/>
      <c r="M52" s="11" t="n"/>
      <c r="N52" s="15" t="n"/>
      <c r="O52" s="11">
        <f>IF($E52="","",IF(AND($E52="Active",$F52="Green"),"Yes","No"))</f>
        <v/>
      </c>
      <c r="P52" s="11" t="n"/>
      <c r="Q52">
        <f>IF($I52="","",ROUND(TODAY()-$I52,0))</f>
        <v/>
      </c>
      <c r="R52">
        <f>IF($B52="",0,IF(OR(AND(ISNUMBER($J52),$J52&lt;=TODAY(),$E52&lt;&gt;"Dead Lead"),AND($D52="",$E52&lt;&gt;"",$E52&lt;&gt;"Dead Lead",OR($I52="",$I52&lt;TODAY()))),1,0))</f>
        <v/>
      </c>
      <c r="S52">
        <f>IF($R52=1,SUMPRODUCT(($R$4:$R$203=1)*(($Q$4:$Q$203&gt;$Q52)+(($Q$4:$Q$203=$Q52)*(ROW($Q$4:$Q$203)&lt;ROW($Q52)))))+1,"")</f>
        <v/>
      </c>
      <c r="T52" s="11">
        <f>IF($B52="","",0)</f>
        <v/>
      </c>
      <c r="U52">
        <f>IF($B52="",0,IF($E52="Dead Lead",1,0))</f>
        <v/>
      </c>
      <c r="V52">
        <f>IF($U52=1,SUMPRODUCT(($U$4:$U$203=1)*(($J$4:$J$203&lt;$J52)+(($J$4:$J$203=$J52)*(ROW($J$4:$J$203)&lt;ROW($J52)))))+1,"")</f>
        <v/>
      </c>
      <c r="W52" s="12">
        <f>IF($B52="","","")</f>
        <v/>
      </c>
      <c r="X52" s="11">
        <f>IF($B52="","",0)</f>
        <v/>
      </c>
      <c r="Y52">
        <f>IF($B52="",0,IF(AND($R52=0,$E52&lt;&gt;"Dead Lead",ISNUMBER($J52),$J52&lt;=TODAY()+7),1,0))</f>
        <v/>
      </c>
      <c r="Z52">
        <f>IF($Y52=1,SUMPRODUCT(($Y$4:$Y$203=1)*(($J$4:$J$203&lt;$J52)+(($J$4:$J$203=$J52)*(ROW($J$4:$J$203)&lt;ROW($J52)))))+1,"")</f>
        <v/>
      </c>
      <c r="AA52" s="12">
        <f>IF($B52="","","")</f>
        <v/>
      </c>
      <c r="AB52" s="11">
        <f>IF($B52="","",0)</f>
        <v/>
      </c>
      <c r="AC52" s="11" t="n"/>
      <c r="AD52">
        <f>IF($E52="","",IF($E52="VIP Transferred",IF($AA52="","",IF(N($AB52)&gt;=3,"N/A - Closed",$AA52+CHOOSE(N($AB52)+1,1,2,3))),IF($I52="","",IF(VLOOKUP($E52,Lists!$C$2:$E$20,3,FALSE)="CLOSED","N/A - Closed",$I52+VLOOKUP($E52,Lists!$C$2:$E$20,3,FALSE)))))</f>
        <v/>
      </c>
      <c r="AE52">
        <f>IF(AND($AC52="Yes",$W52&lt;&gt;"",N($X52)&lt;3),$W52+CHOOSE(N($X52)+1,1,7,14),"")</f>
        <v/>
      </c>
      <c r="AF52" s="12">
        <f>IF($B52="","","")</f>
        <v/>
      </c>
    </row>
    <row r="53">
      <c r="A53" s="11">
        <f>IF($B53="","","YU-"&amp;TEXT(ROW()-3,"0000"))</f>
        <v/>
      </c>
      <c r="B53" s="11" t="n"/>
      <c r="C53" s="11" t="inlineStr">
        <is>
          <t>Discord</t>
        </is>
      </c>
      <c r="D53" s="11" t="n"/>
      <c r="E53" s="11" t="n"/>
      <c r="F53" s="11">
        <f>IF($E53="","",IF($E53="Dead Lead","Black",IF(IF(ISNUMBER($J53),TODAY()-$J53&gt;3,FALSE),"Red",IF($E53="Reactivation Queue","Red",IF(OR($E53="First Deposit",$E53="Active"),"Green","Yellow")))))</f>
        <v/>
      </c>
      <c r="G53" s="11">
        <f>IF($F53="","",IF($F53="Red",1,IF($F53="Yellow",2,IF($F53="Green",3,4))))</f>
        <v/>
      </c>
      <c r="H53" s="14" t="n"/>
      <c r="I53" s="14" t="n"/>
      <c r="J53" s="12">
        <f>IF($E53="","",IF(AND(ISNUMBER($AD53),ISNUMBER($AE53)),MIN($AD53,$AE53),IF(ISNUMBER($AE53),$AE53,$AD53)))</f>
        <v/>
      </c>
      <c r="K53" s="11">
        <f>IF($E53="","",IF($E53="VIP Transferred",IF(N($AB53)&gt;=3,"Should be Dead Lead (3 attempts, still no deposit) - will auto-update","Day "&amp;CHOOSE(N($AB53)+1,1,2,3)&amp;" URGENT VIP check-in - help them finish KYC and lock in first deposit"),IF(AND($D53="",$E53&lt;&gt;"Dead Lead"),IF(N($T53)&gt;=3,"READY FOR DEAD LEAD (3 attempts, still no sign-up)","GET ROOBET SIGN-UP - "&amp;IFERROR(VLOOKUP($E53,Lists!$C$2:$E$20,2,FALSE),"")),IFERROR(VLOOKUP($E53,Lists!$C$2:$E$20,2,FALSE),""))))&amp;IF($AC53="Yes",IF(N($X53)&gt;=3," | VIP Team checkpoints complete - no more automatic check-ins"," | Day "&amp;CHOOSE(N($X53)+1,1,7,14)&amp;" VIP Team check-in - confirm active/depositing"),"")</f>
        <v/>
      </c>
      <c r="L53" s="11" t="n"/>
      <c r="M53" s="11" t="n"/>
      <c r="N53" s="15" t="n"/>
      <c r="O53" s="11">
        <f>IF($E53="","",IF(AND($E53="Active",$F53="Green"),"Yes","No"))</f>
        <v/>
      </c>
      <c r="P53" s="11" t="n"/>
      <c r="Q53">
        <f>IF($I53="","",ROUND(TODAY()-$I53,0))</f>
        <v/>
      </c>
      <c r="R53">
        <f>IF($B53="",0,IF(OR(AND(ISNUMBER($J53),$J53&lt;=TODAY(),$E53&lt;&gt;"Dead Lead"),AND($D53="",$E53&lt;&gt;"",$E53&lt;&gt;"Dead Lead",OR($I53="",$I53&lt;TODAY()))),1,0))</f>
        <v/>
      </c>
      <c r="S53">
        <f>IF($R53=1,SUMPRODUCT(($R$4:$R$203=1)*(($Q$4:$Q$203&gt;$Q53)+(($Q$4:$Q$203=$Q53)*(ROW($Q$4:$Q$203)&lt;ROW($Q53)))))+1,"")</f>
        <v/>
      </c>
      <c r="T53" s="11">
        <f>IF($B53="","",0)</f>
        <v/>
      </c>
      <c r="U53">
        <f>IF($B53="",0,IF($E53="Dead Lead",1,0))</f>
        <v/>
      </c>
      <c r="V53">
        <f>IF($U53=1,SUMPRODUCT(($U$4:$U$203=1)*(($J$4:$J$203&lt;$J53)+(($J$4:$J$203=$J53)*(ROW($J$4:$J$203)&lt;ROW($J53)))))+1,"")</f>
        <v/>
      </c>
      <c r="W53" s="12">
        <f>IF($B53="","","")</f>
        <v/>
      </c>
      <c r="X53" s="11">
        <f>IF($B53="","",0)</f>
        <v/>
      </c>
      <c r="Y53">
        <f>IF($B53="",0,IF(AND($R53=0,$E53&lt;&gt;"Dead Lead",ISNUMBER($J53),$J53&lt;=TODAY()+7),1,0))</f>
        <v/>
      </c>
      <c r="Z53">
        <f>IF($Y53=1,SUMPRODUCT(($Y$4:$Y$203=1)*(($J$4:$J$203&lt;$J53)+(($J$4:$J$203=$J53)*(ROW($J$4:$J$203)&lt;ROW($J53)))))+1,"")</f>
        <v/>
      </c>
      <c r="AA53" s="12">
        <f>IF($B53="","","")</f>
        <v/>
      </c>
      <c r="AB53" s="11">
        <f>IF($B53="","",0)</f>
        <v/>
      </c>
      <c r="AC53" s="11" t="n"/>
      <c r="AD53">
        <f>IF($E53="","",IF($E53="VIP Transferred",IF($AA53="","",IF(N($AB53)&gt;=3,"N/A - Closed",$AA53+CHOOSE(N($AB53)+1,1,2,3))),IF($I53="","",IF(VLOOKUP($E53,Lists!$C$2:$E$20,3,FALSE)="CLOSED","N/A - Closed",$I53+VLOOKUP($E53,Lists!$C$2:$E$20,3,FALSE)))))</f>
        <v/>
      </c>
      <c r="AE53">
        <f>IF(AND($AC53="Yes",$W53&lt;&gt;"",N($X53)&lt;3),$W53+CHOOSE(N($X53)+1,1,7,14),"")</f>
        <v/>
      </c>
      <c r="AF53" s="12">
        <f>IF($B53="","","")</f>
        <v/>
      </c>
    </row>
    <row r="54">
      <c r="A54" s="11">
        <f>IF($B54="","","YU-"&amp;TEXT(ROW()-3,"0000"))</f>
        <v/>
      </c>
      <c r="B54" s="11" t="n"/>
      <c r="C54" s="11" t="inlineStr">
        <is>
          <t>Discord</t>
        </is>
      </c>
      <c r="D54" s="11" t="n"/>
      <c r="E54" s="11" t="n"/>
      <c r="F54" s="11">
        <f>IF($E54="","",IF($E54="Dead Lead","Black",IF(IF(ISNUMBER($J54),TODAY()-$J54&gt;3,FALSE),"Red",IF($E54="Reactivation Queue","Red",IF(OR($E54="First Deposit",$E54="Active"),"Green","Yellow")))))</f>
        <v/>
      </c>
      <c r="G54" s="11">
        <f>IF($F54="","",IF($F54="Red",1,IF($F54="Yellow",2,IF($F54="Green",3,4))))</f>
        <v/>
      </c>
      <c r="H54" s="14" t="n"/>
      <c r="I54" s="14" t="n"/>
      <c r="J54" s="12">
        <f>IF($E54="","",IF(AND(ISNUMBER($AD54),ISNUMBER($AE54)),MIN($AD54,$AE54),IF(ISNUMBER($AE54),$AE54,$AD54)))</f>
        <v/>
      </c>
      <c r="K54" s="11">
        <f>IF($E54="","",IF($E54="VIP Transferred",IF(N($AB54)&gt;=3,"Should be Dead Lead (3 attempts, still no deposit) - will auto-update","Day "&amp;CHOOSE(N($AB54)+1,1,2,3)&amp;" URGENT VIP check-in - help them finish KYC and lock in first deposit"),IF(AND($D54="",$E54&lt;&gt;"Dead Lead"),IF(N($T54)&gt;=3,"READY FOR DEAD LEAD (3 attempts, still no sign-up)","GET ROOBET SIGN-UP - "&amp;IFERROR(VLOOKUP($E54,Lists!$C$2:$E$20,2,FALSE),"")),IFERROR(VLOOKUP($E54,Lists!$C$2:$E$20,2,FALSE),""))))&amp;IF($AC54="Yes",IF(N($X54)&gt;=3," | VIP Team checkpoints complete - no more automatic check-ins"," | Day "&amp;CHOOSE(N($X54)+1,1,7,14)&amp;" VIP Team check-in - confirm active/depositing"),"")</f>
        <v/>
      </c>
      <c r="L54" s="11" t="n"/>
      <c r="M54" s="11" t="n"/>
      <c r="N54" s="15" t="n"/>
      <c r="O54" s="11">
        <f>IF($E54="","",IF(AND($E54="Active",$F54="Green"),"Yes","No"))</f>
        <v/>
      </c>
      <c r="P54" s="11" t="n"/>
      <c r="Q54">
        <f>IF($I54="","",ROUND(TODAY()-$I54,0))</f>
        <v/>
      </c>
      <c r="R54">
        <f>IF($B54="",0,IF(OR(AND(ISNUMBER($J54),$J54&lt;=TODAY(),$E54&lt;&gt;"Dead Lead"),AND($D54="",$E54&lt;&gt;"",$E54&lt;&gt;"Dead Lead",OR($I54="",$I54&lt;TODAY()))),1,0))</f>
        <v/>
      </c>
      <c r="S54">
        <f>IF($R54=1,SUMPRODUCT(($R$4:$R$203=1)*(($Q$4:$Q$203&gt;$Q54)+(($Q$4:$Q$203=$Q54)*(ROW($Q$4:$Q$203)&lt;ROW($Q54)))))+1,"")</f>
        <v/>
      </c>
      <c r="T54" s="11">
        <f>IF($B54="","",0)</f>
        <v/>
      </c>
      <c r="U54">
        <f>IF($B54="",0,IF($E54="Dead Lead",1,0))</f>
        <v/>
      </c>
      <c r="V54">
        <f>IF($U54=1,SUMPRODUCT(($U$4:$U$203=1)*(($J$4:$J$203&lt;$J54)+(($J$4:$J$203=$J54)*(ROW($J$4:$J$203)&lt;ROW($J54)))))+1,"")</f>
        <v/>
      </c>
      <c r="W54" s="12">
        <f>IF($B54="","","")</f>
        <v/>
      </c>
      <c r="X54" s="11">
        <f>IF($B54="","",0)</f>
        <v/>
      </c>
      <c r="Y54">
        <f>IF($B54="",0,IF(AND($R54=0,$E54&lt;&gt;"Dead Lead",ISNUMBER($J54),$J54&lt;=TODAY()+7),1,0))</f>
        <v/>
      </c>
      <c r="Z54">
        <f>IF($Y54=1,SUMPRODUCT(($Y$4:$Y$203=1)*(($J$4:$J$203&lt;$J54)+(($J$4:$J$203=$J54)*(ROW($J$4:$J$203)&lt;ROW($J54)))))+1,"")</f>
        <v/>
      </c>
      <c r="AA54" s="12">
        <f>IF($B54="","","")</f>
        <v/>
      </c>
      <c r="AB54" s="11">
        <f>IF($B54="","",0)</f>
        <v/>
      </c>
      <c r="AC54" s="11" t="n"/>
      <c r="AD54">
        <f>IF($E54="","",IF($E54="VIP Transferred",IF($AA54="","",IF(N($AB54)&gt;=3,"N/A - Closed",$AA54+CHOOSE(N($AB54)+1,1,2,3))),IF($I54="","",IF(VLOOKUP($E54,Lists!$C$2:$E$20,3,FALSE)="CLOSED","N/A - Closed",$I54+VLOOKUP($E54,Lists!$C$2:$E$20,3,FALSE)))))</f>
        <v/>
      </c>
      <c r="AE54">
        <f>IF(AND($AC54="Yes",$W54&lt;&gt;"",N($X54)&lt;3),$W54+CHOOSE(N($X54)+1,1,7,14),"")</f>
        <v/>
      </c>
      <c r="AF54" s="12">
        <f>IF($B54="","","")</f>
        <v/>
      </c>
    </row>
    <row r="55">
      <c r="A55" s="11">
        <f>IF($B55="","","YU-"&amp;TEXT(ROW()-3,"0000"))</f>
        <v/>
      </c>
      <c r="B55" s="11" t="n"/>
      <c r="C55" s="11" t="inlineStr">
        <is>
          <t>Discord</t>
        </is>
      </c>
      <c r="D55" s="11" t="n"/>
      <c r="E55" s="11" t="n"/>
      <c r="F55" s="11">
        <f>IF($E55="","",IF($E55="Dead Lead","Black",IF(IF(ISNUMBER($J55),TODAY()-$J55&gt;3,FALSE),"Red",IF($E55="Reactivation Queue","Red",IF(OR($E55="First Deposit",$E55="Active"),"Green","Yellow")))))</f>
        <v/>
      </c>
      <c r="G55" s="11">
        <f>IF($F55="","",IF($F55="Red",1,IF($F55="Yellow",2,IF($F55="Green",3,4))))</f>
        <v/>
      </c>
      <c r="H55" s="14" t="n"/>
      <c r="I55" s="14" t="n"/>
      <c r="J55" s="12">
        <f>IF($E55="","",IF(AND(ISNUMBER($AD55),ISNUMBER($AE55)),MIN($AD55,$AE55),IF(ISNUMBER($AE55),$AE55,$AD55)))</f>
        <v/>
      </c>
      <c r="K55" s="11">
        <f>IF($E55="","",IF($E55="VIP Transferred",IF(N($AB55)&gt;=3,"Should be Dead Lead (3 attempts, still no deposit) - will auto-update","Day "&amp;CHOOSE(N($AB55)+1,1,2,3)&amp;" URGENT VIP check-in - help them finish KYC and lock in first deposit"),IF(AND($D55="",$E55&lt;&gt;"Dead Lead"),IF(N($T55)&gt;=3,"READY FOR DEAD LEAD (3 attempts, still no sign-up)","GET ROOBET SIGN-UP - "&amp;IFERROR(VLOOKUP($E55,Lists!$C$2:$E$20,2,FALSE),"")),IFERROR(VLOOKUP($E55,Lists!$C$2:$E$20,2,FALSE),""))))&amp;IF($AC55="Yes",IF(N($X55)&gt;=3," | VIP Team checkpoints complete - no more automatic check-ins"," | Day "&amp;CHOOSE(N($X55)+1,1,7,14)&amp;" VIP Team check-in - confirm active/depositing"),"")</f>
        <v/>
      </c>
      <c r="L55" s="11" t="n"/>
      <c r="M55" s="11" t="n"/>
      <c r="N55" s="15" t="n"/>
      <c r="O55" s="11">
        <f>IF($E55="","",IF(AND($E55="Active",$F55="Green"),"Yes","No"))</f>
        <v/>
      </c>
      <c r="P55" s="11" t="n"/>
      <c r="Q55">
        <f>IF($I55="","",ROUND(TODAY()-$I55,0))</f>
        <v/>
      </c>
      <c r="R55">
        <f>IF($B55="",0,IF(OR(AND(ISNUMBER($J55),$J55&lt;=TODAY(),$E55&lt;&gt;"Dead Lead"),AND($D55="",$E55&lt;&gt;"",$E55&lt;&gt;"Dead Lead",OR($I55="",$I55&lt;TODAY()))),1,0))</f>
        <v/>
      </c>
      <c r="S55">
        <f>IF($R55=1,SUMPRODUCT(($R$4:$R$203=1)*(($Q$4:$Q$203&gt;$Q55)+(($Q$4:$Q$203=$Q55)*(ROW($Q$4:$Q$203)&lt;ROW($Q55)))))+1,"")</f>
        <v/>
      </c>
      <c r="T55" s="11">
        <f>IF($B55="","",0)</f>
        <v/>
      </c>
      <c r="U55">
        <f>IF($B55="",0,IF($E55="Dead Lead",1,0))</f>
        <v/>
      </c>
      <c r="V55">
        <f>IF($U55=1,SUMPRODUCT(($U$4:$U$203=1)*(($J$4:$J$203&lt;$J55)+(($J$4:$J$203=$J55)*(ROW($J$4:$J$203)&lt;ROW($J55)))))+1,"")</f>
        <v/>
      </c>
      <c r="W55" s="12">
        <f>IF($B55="","","")</f>
        <v/>
      </c>
      <c r="X55" s="11">
        <f>IF($B55="","",0)</f>
        <v/>
      </c>
      <c r="Y55">
        <f>IF($B55="",0,IF(AND($R55=0,$E55&lt;&gt;"Dead Lead",ISNUMBER($J55),$J55&lt;=TODAY()+7),1,0))</f>
        <v/>
      </c>
      <c r="Z55">
        <f>IF($Y55=1,SUMPRODUCT(($Y$4:$Y$203=1)*(($J$4:$J$203&lt;$J55)+(($J$4:$J$203=$J55)*(ROW($J$4:$J$203)&lt;ROW($J55)))))+1,"")</f>
        <v/>
      </c>
      <c r="AA55" s="12">
        <f>IF($B55="","","")</f>
        <v/>
      </c>
      <c r="AB55" s="11">
        <f>IF($B55="","",0)</f>
        <v/>
      </c>
      <c r="AC55" s="11" t="n"/>
      <c r="AD55">
        <f>IF($E55="","",IF($E55="VIP Transferred",IF($AA55="","",IF(N($AB55)&gt;=3,"N/A - Closed",$AA55+CHOOSE(N($AB55)+1,1,2,3))),IF($I55="","",IF(VLOOKUP($E55,Lists!$C$2:$E$20,3,FALSE)="CLOSED","N/A - Closed",$I55+VLOOKUP($E55,Lists!$C$2:$E$20,3,FALSE)))))</f>
        <v/>
      </c>
      <c r="AE55">
        <f>IF(AND($AC55="Yes",$W55&lt;&gt;"",N($X55)&lt;3),$W55+CHOOSE(N($X55)+1,1,7,14),"")</f>
        <v/>
      </c>
      <c r="AF55" s="12">
        <f>IF($B55="","","")</f>
        <v/>
      </c>
    </row>
    <row r="56">
      <c r="A56" s="11">
        <f>IF($B56="","","YU-"&amp;TEXT(ROW()-3,"0000"))</f>
        <v/>
      </c>
      <c r="B56" s="11" t="n"/>
      <c r="C56" s="11" t="inlineStr">
        <is>
          <t>Discord</t>
        </is>
      </c>
      <c r="D56" s="11" t="n"/>
      <c r="E56" s="11" t="n"/>
      <c r="F56" s="11">
        <f>IF($E56="","",IF($E56="Dead Lead","Black",IF(IF(ISNUMBER($J56),TODAY()-$J56&gt;3,FALSE),"Red",IF($E56="Reactivation Queue","Red",IF(OR($E56="First Deposit",$E56="Active"),"Green","Yellow")))))</f>
        <v/>
      </c>
      <c r="G56" s="11">
        <f>IF($F56="","",IF($F56="Red",1,IF($F56="Yellow",2,IF($F56="Green",3,4))))</f>
        <v/>
      </c>
      <c r="H56" s="14" t="n"/>
      <c r="I56" s="14" t="n"/>
      <c r="J56" s="12">
        <f>IF($E56="","",IF(AND(ISNUMBER($AD56),ISNUMBER($AE56)),MIN($AD56,$AE56),IF(ISNUMBER($AE56),$AE56,$AD56)))</f>
        <v/>
      </c>
      <c r="K56" s="11">
        <f>IF($E56="","",IF($E56="VIP Transferred",IF(N($AB56)&gt;=3,"Should be Dead Lead (3 attempts, still no deposit) - will auto-update","Day "&amp;CHOOSE(N($AB56)+1,1,2,3)&amp;" URGENT VIP check-in - help them finish KYC and lock in first deposit"),IF(AND($D56="",$E56&lt;&gt;"Dead Lead"),IF(N($T56)&gt;=3,"READY FOR DEAD LEAD (3 attempts, still no sign-up)","GET ROOBET SIGN-UP - "&amp;IFERROR(VLOOKUP($E56,Lists!$C$2:$E$20,2,FALSE),"")),IFERROR(VLOOKUP($E56,Lists!$C$2:$E$20,2,FALSE),""))))&amp;IF($AC56="Yes",IF(N($X56)&gt;=3," | VIP Team checkpoints complete - no more automatic check-ins"," | Day "&amp;CHOOSE(N($X56)+1,1,7,14)&amp;" VIP Team check-in - confirm active/depositing"),"")</f>
        <v/>
      </c>
      <c r="L56" s="11" t="n"/>
      <c r="M56" s="11" t="n"/>
      <c r="N56" s="15" t="n"/>
      <c r="O56" s="11">
        <f>IF($E56="","",IF(AND($E56="Active",$F56="Green"),"Yes","No"))</f>
        <v/>
      </c>
      <c r="P56" s="11" t="n"/>
      <c r="Q56">
        <f>IF($I56="","",ROUND(TODAY()-$I56,0))</f>
        <v/>
      </c>
      <c r="R56">
        <f>IF($B56="",0,IF(OR(AND(ISNUMBER($J56),$J56&lt;=TODAY(),$E56&lt;&gt;"Dead Lead"),AND($D56="",$E56&lt;&gt;"",$E56&lt;&gt;"Dead Lead",OR($I56="",$I56&lt;TODAY()))),1,0))</f>
        <v/>
      </c>
      <c r="S56">
        <f>IF($R56=1,SUMPRODUCT(($R$4:$R$203=1)*(($Q$4:$Q$203&gt;$Q56)+(($Q$4:$Q$203=$Q56)*(ROW($Q$4:$Q$203)&lt;ROW($Q56)))))+1,"")</f>
        <v/>
      </c>
      <c r="T56" s="11">
        <f>IF($B56="","",0)</f>
        <v/>
      </c>
      <c r="U56">
        <f>IF($B56="",0,IF($E56="Dead Lead",1,0))</f>
        <v/>
      </c>
      <c r="V56">
        <f>IF($U56=1,SUMPRODUCT(($U$4:$U$203=1)*(($J$4:$J$203&lt;$J56)+(($J$4:$J$203=$J56)*(ROW($J$4:$J$203)&lt;ROW($J56)))))+1,"")</f>
        <v/>
      </c>
      <c r="W56" s="12">
        <f>IF($B56="","","")</f>
        <v/>
      </c>
      <c r="X56" s="11">
        <f>IF($B56="","",0)</f>
        <v/>
      </c>
      <c r="Y56">
        <f>IF($B56="",0,IF(AND($R56=0,$E56&lt;&gt;"Dead Lead",ISNUMBER($J56),$J56&lt;=TODAY()+7),1,0))</f>
        <v/>
      </c>
      <c r="Z56">
        <f>IF($Y56=1,SUMPRODUCT(($Y$4:$Y$203=1)*(($J$4:$J$203&lt;$J56)+(($J$4:$J$203=$J56)*(ROW($J$4:$J$203)&lt;ROW($J56)))))+1,"")</f>
        <v/>
      </c>
      <c r="AA56" s="12">
        <f>IF($B56="","","")</f>
        <v/>
      </c>
      <c r="AB56" s="11">
        <f>IF($B56="","",0)</f>
        <v/>
      </c>
      <c r="AC56" s="11" t="n"/>
      <c r="AD56">
        <f>IF($E56="","",IF($E56="VIP Transferred",IF($AA56="","",IF(N($AB56)&gt;=3,"N/A - Closed",$AA56+CHOOSE(N($AB56)+1,1,2,3))),IF($I56="","",IF(VLOOKUP($E56,Lists!$C$2:$E$20,3,FALSE)="CLOSED","N/A - Closed",$I56+VLOOKUP($E56,Lists!$C$2:$E$20,3,FALSE)))))</f>
        <v/>
      </c>
      <c r="AE56">
        <f>IF(AND($AC56="Yes",$W56&lt;&gt;"",N($X56)&lt;3),$W56+CHOOSE(N($X56)+1,1,7,14),"")</f>
        <v/>
      </c>
      <c r="AF56" s="12">
        <f>IF($B56="","","")</f>
        <v/>
      </c>
    </row>
    <row r="57">
      <c r="A57" s="11">
        <f>IF($B57="","","YU-"&amp;TEXT(ROW()-3,"0000"))</f>
        <v/>
      </c>
      <c r="B57" s="11" t="n"/>
      <c r="C57" s="11" t="inlineStr">
        <is>
          <t>Discord</t>
        </is>
      </c>
      <c r="D57" s="11" t="n"/>
      <c r="E57" s="11" t="n"/>
      <c r="F57" s="11">
        <f>IF($E57="","",IF($E57="Dead Lead","Black",IF(IF(ISNUMBER($J57),TODAY()-$J57&gt;3,FALSE),"Red",IF($E57="Reactivation Queue","Red",IF(OR($E57="First Deposit",$E57="Active"),"Green","Yellow")))))</f>
        <v/>
      </c>
      <c r="G57" s="11">
        <f>IF($F57="","",IF($F57="Red",1,IF($F57="Yellow",2,IF($F57="Green",3,4))))</f>
        <v/>
      </c>
      <c r="H57" s="14" t="n"/>
      <c r="I57" s="14" t="n"/>
      <c r="J57" s="12">
        <f>IF($E57="","",IF(AND(ISNUMBER($AD57),ISNUMBER($AE57)),MIN($AD57,$AE57),IF(ISNUMBER($AE57),$AE57,$AD57)))</f>
        <v/>
      </c>
      <c r="K57" s="11">
        <f>IF($E57="","",IF($E57="VIP Transferred",IF(N($AB57)&gt;=3,"Should be Dead Lead (3 attempts, still no deposit) - will auto-update","Day "&amp;CHOOSE(N($AB57)+1,1,2,3)&amp;" URGENT VIP check-in - help them finish KYC and lock in first deposit"),IF(AND($D57="",$E57&lt;&gt;"Dead Lead"),IF(N($T57)&gt;=3,"READY FOR DEAD LEAD (3 attempts, still no sign-up)","GET ROOBET SIGN-UP - "&amp;IFERROR(VLOOKUP($E57,Lists!$C$2:$E$20,2,FALSE),"")),IFERROR(VLOOKUP($E57,Lists!$C$2:$E$20,2,FALSE),""))))&amp;IF($AC57="Yes",IF(N($X57)&gt;=3," | VIP Team checkpoints complete - no more automatic check-ins"," | Day "&amp;CHOOSE(N($X57)+1,1,7,14)&amp;" VIP Team check-in - confirm active/depositing"),"")</f>
        <v/>
      </c>
      <c r="L57" s="11" t="n"/>
      <c r="M57" s="11" t="n"/>
      <c r="N57" s="15" t="n"/>
      <c r="O57" s="11">
        <f>IF($E57="","",IF(AND($E57="Active",$F57="Green"),"Yes","No"))</f>
        <v/>
      </c>
      <c r="P57" s="11" t="n"/>
      <c r="Q57">
        <f>IF($I57="","",ROUND(TODAY()-$I57,0))</f>
        <v/>
      </c>
      <c r="R57">
        <f>IF($B57="",0,IF(OR(AND(ISNUMBER($J57),$J57&lt;=TODAY(),$E57&lt;&gt;"Dead Lead"),AND($D57="",$E57&lt;&gt;"",$E57&lt;&gt;"Dead Lead",OR($I57="",$I57&lt;TODAY()))),1,0))</f>
        <v/>
      </c>
      <c r="S57">
        <f>IF($R57=1,SUMPRODUCT(($R$4:$R$203=1)*(($Q$4:$Q$203&gt;$Q57)+(($Q$4:$Q$203=$Q57)*(ROW($Q$4:$Q$203)&lt;ROW($Q57)))))+1,"")</f>
        <v/>
      </c>
      <c r="T57" s="11">
        <f>IF($B57="","",0)</f>
        <v/>
      </c>
      <c r="U57">
        <f>IF($B57="",0,IF($E57="Dead Lead",1,0))</f>
        <v/>
      </c>
      <c r="V57">
        <f>IF($U57=1,SUMPRODUCT(($U$4:$U$203=1)*(($J$4:$J$203&lt;$J57)+(($J$4:$J$203=$J57)*(ROW($J$4:$J$203)&lt;ROW($J57)))))+1,"")</f>
        <v/>
      </c>
      <c r="W57" s="12">
        <f>IF($B57="","","")</f>
        <v/>
      </c>
      <c r="X57" s="11">
        <f>IF($B57="","",0)</f>
        <v/>
      </c>
      <c r="Y57">
        <f>IF($B57="",0,IF(AND($R57=0,$E57&lt;&gt;"Dead Lead",ISNUMBER($J57),$J57&lt;=TODAY()+7),1,0))</f>
        <v/>
      </c>
      <c r="Z57">
        <f>IF($Y57=1,SUMPRODUCT(($Y$4:$Y$203=1)*(($J$4:$J$203&lt;$J57)+(($J$4:$J$203=$J57)*(ROW($J$4:$J$203)&lt;ROW($J57)))))+1,"")</f>
        <v/>
      </c>
      <c r="AA57" s="12">
        <f>IF($B57="","","")</f>
        <v/>
      </c>
      <c r="AB57" s="11">
        <f>IF($B57="","",0)</f>
        <v/>
      </c>
      <c r="AC57" s="11" t="n"/>
      <c r="AD57">
        <f>IF($E57="","",IF($E57="VIP Transferred",IF($AA57="","",IF(N($AB57)&gt;=3,"N/A - Closed",$AA57+CHOOSE(N($AB57)+1,1,2,3))),IF($I57="","",IF(VLOOKUP($E57,Lists!$C$2:$E$20,3,FALSE)="CLOSED","N/A - Closed",$I57+VLOOKUP($E57,Lists!$C$2:$E$20,3,FALSE)))))</f>
        <v/>
      </c>
      <c r="AE57">
        <f>IF(AND($AC57="Yes",$W57&lt;&gt;"",N($X57)&lt;3),$W57+CHOOSE(N($X57)+1,1,7,14),"")</f>
        <v/>
      </c>
      <c r="AF57" s="12">
        <f>IF($B57="","","")</f>
        <v/>
      </c>
    </row>
    <row r="58">
      <c r="A58" s="11">
        <f>IF($B58="","","YU-"&amp;TEXT(ROW()-3,"0000"))</f>
        <v/>
      </c>
      <c r="B58" s="11" t="n"/>
      <c r="C58" s="11" t="inlineStr">
        <is>
          <t>Discord</t>
        </is>
      </c>
      <c r="D58" s="11" t="n"/>
      <c r="E58" s="11" t="n"/>
      <c r="F58" s="11">
        <f>IF($E58="","",IF($E58="Dead Lead","Black",IF(IF(ISNUMBER($J58),TODAY()-$J58&gt;3,FALSE),"Red",IF($E58="Reactivation Queue","Red",IF(OR($E58="First Deposit",$E58="Active"),"Green","Yellow")))))</f>
        <v/>
      </c>
      <c r="G58" s="11">
        <f>IF($F58="","",IF($F58="Red",1,IF($F58="Yellow",2,IF($F58="Green",3,4))))</f>
        <v/>
      </c>
      <c r="H58" s="14" t="n"/>
      <c r="I58" s="14" t="n"/>
      <c r="J58" s="12">
        <f>IF($E58="","",IF(AND(ISNUMBER($AD58),ISNUMBER($AE58)),MIN($AD58,$AE58),IF(ISNUMBER($AE58),$AE58,$AD58)))</f>
        <v/>
      </c>
      <c r="K58" s="11">
        <f>IF($E58="","",IF($E58="VIP Transferred",IF(N($AB58)&gt;=3,"Should be Dead Lead (3 attempts, still no deposit) - will auto-update","Day "&amp;CHOOSE(N($AB58)+1,1,2,3)&amp;" URGENT VIP check-in - help them finish KYC and lock in first deposit"),IF(AND($D58="",$E58&lt;&gt;"Dead Lead"),IF(N($T58)&gt;=3,"READY FOR DEAD LEAD (3 attempts, still no sign-up)","GET ROOBET SIGN-UP - "&amp;IFERROR(VLOOKUP($E58,Lists!$C$2:$E$20,2,FALSE),"")),IFERROR(VLOOKUP($E58,Lists!$C$2:$E$20,2,FALSE),""))))&amp;IF($AC58="Yes",IF(N($X58)&gt;=3," | VIP Team checkpoints complete - no more automatic check-ins"," | Day "&amp;CHOOSE(N($X58)+1,1,7,14)&amp;" VIP Team check-in - confirm active/depositing"),"")</f>
        <v/>
      </c>
      <c r="L58" s="11" t="n"/>
      <c r="M58" s="11" t="n"/>
      <c r="N58" s="15" t="n"/>
      <c r="O58" s="11">
        <f>IF($E58="","",IF(AND($E58="Active",$F58="Green"),"Yes","No"))</f>
        <v/>
      </c>
      <c r="P58" s="11" t="n"/>
      <c r="Q58">
        <f>IF($I58="","",ROUND(TODAY()-$I58,0))</f>
        <v/>
      </c>
      <c r="R58">
        <f>IF($B58="",0,IF(OR(AND(ISNUMBER($J58),$J58&lt;=TODAY(),$E58&lt;&gt;"Dead Lead"),AND($D58="",$E58&lt;&gt;"",$E58&lt;&gt;"Dead Lead",OR($I58="",$I58&lt;TODAY()))),1,0))</f>
        <v/>
      </c>
      <c r="S58">
        <f>IF($R58=1,SUMPRODUCT(($R$4:$R$203=1)*(($Q$4:$Q$203&gt;$Q58)+(($Q$4:$Q$203=$Q58)*(ROW($Q$4:$Q$203)&lt;ROW($Q58)))))+1,"")</f>
        <v/>
      </c>
      <c r="T58" s="11">
        <f>IF($B58="","",0)</f>
        <v/>
      </c>
      <c r="U58">
        <f>IF($B58="",0,IF($E58="Dead Lead",1,0))</f>
        <v/>
      </c>
      <c r="V58">
        <f>IF($U58=1,SUMPRODUCT(($U$4:$U$203=1)*(($J$4:$J$203&lt;$J58)+(($J$4:$J$203=$J58)*(ROW($J$4:$J$203)&lt;ROW($J58)))))+1,"")</f>
        <v/>
      </c>
      <c r="W58" s="12">
        <f>IF($B58="","","")</f>
        <v/>
      </c>
      <c r="X58" s="11">
        <f>IF($B58="","",0)</f>
        <v/>
      </c>
      <c r="Y58">
        <f>IF($B58="",0,IF(AND($R58=0,$E58&lt;&gt;"Dead Lead",ISNUMBER($J58),$J58&lt;=TODAY()+7),1,0))</f>
        <v/>
      </c>
      <c r="Z58">
        <f>IF($Y58=1,SUMPRODUCT(($Y$4:$Y$203=1)*(($J$4:$J$203&lt;$J58)+(($J$4:$J$203=$J58)*(ROW($J$4:$J$203)&lt;ROW($J58)))))+1,"")</f>
        <v/>
      </c>
      <c r="AA58" s="12">
        <f>IF($B58="","","")</f>
        <v/>
      </c>
      <c r="AB58" s="11">
        <f>IF($B58="","",0)</f>
        <v/>
      </c>
      <c r="AC58" s="11" t="n"/>
      <c r="AD58">
        <f>IF($E58="","",IF($E58="VIP Transferred",IF($AA58="","",IF(N($AB58)&gt;=3,"N/A - Closed",$AA58+CHOOSE(N($AB58)+1,1,2,3))),IF($I58="","",IF(VLOOKUP($E58,Lists!$C$2:$E$20,3,FALSE)="CLOSED","N/A - Closed",$I58+VLOOKUP($E58,Lists!$C$2:$E$20,3,FALSE)))))</f>
        <v/>
      </c>
      <c r="AE58">
        <f>IF(AND($AC58="Yes",$W58&lt;&gt;"",N($X58)&lt;3),$W58+CHOOSE(N($X58)+1,1,7,14),"")</f>
        <v/>
      </c>
      <c r="AF58" s="12">
        <f>IF($B58="","","")</f>
        <v/>
      </c>
    </row>
    <row r="59">
      <c r="A59" s="11">
        <f>IF($B59="","","YU-"&amp;TEXT(ROW()-3,"0000"))</f>
        <v/>
      </c>
      <c r="B59" s="11" t="n"/>
      <c r="C59" s="11" t="inlineStr">
        <is>
          <t>Discord</t>
        </is>
      </c>
      <c r="D59" s="11" t="n"/>
      <c r="E59" s="11" t="n"/>
      <c r="F59" s="11">
        <f>IF($E59="","",IF($E59="Dead Lead","Black",IF(IF(ISNUMBER($J59),TODAY()-$J59&gt;3,FALSE),"Red",IF($E59="Reactivation Queue","Red",IF(OR($E59="First Deposit",$E59="Active"),"Green","Yellow")))))</f>
        <v/>
      </c>
      <c r="G59" s="11">
        <f>IF($F59="","",IF($F59="Red",1,IF($F59="Yellow",2,IF($F59="Green",3,4))))</f>
        <v/>
      </c>
      <c r="H59" s="14" t="n"/>
      <c r="I59" s="14" t="n"/>
      <c r="J59" s="12">
        <f>IF($E59="","",IF(AND(ISNUMBER($AD59),ISNUMBER($AE59)),MIN($AD59,$AE59),IF(ISNUMBER($AE59),$AE59,$AD59)))</f>
        <v/>
      </c>
      <c r="K59" s="11">
        <f>IF($E59="","",IF($E59="VIP Transferred",IF(N($AB59)&gt;=3,"Should be Dead Lead (3 attempts, still no deposit) - will auto-update","Day "&amp;CHOOSE(N($AB59)+1,1,2,3)&amp;" URGENT VIP check-in - help them finish KYC and lock in first deposit"),IF(AND($D59="",$E59&lt;&gt;"Dead Lead"),IF(N($T59)&gt;=3,"READY FOR DEAD LEAD (3 attempts, still no sign-up)","GET ROOBET SIGN-UP - "&amp;IFERROR(VLOOKUP($E59,Lists!$C$2:$E$20,2,FALSE),"")),IFERROR(VLOOKUP($E59,Lists!$C$2:$E$20,2,FALSE),""))))&amp;IF($AC59="Yes",IF(N($X59)&gt;=3," | VIP Team checkpoints complete - no more automatic check-ins"," | Day "&amp;CHOOSE(N($X59)+1,1,7,14)&amp;" VIP Team check-in - confirm active/depositing"),"")</f>
        <v/>
      </c>
      <c r="L59" s="11" t="n"/>
      <c r="M59" s="11" t="n"/>
      <c r="N59" s="15" t="n"/>
      <c r="O59" s="11">
        <f>IF($E59="","",IF(AND($E59="Active",$F59="Green"),"Yes","No"))</f>
        <v/>
      </c>
      <c r="P59" s="11" t="n"/>
      <c r="Q59">
        <f>IF($I59="","",ROUND(TODAY()-$I59,0))</f>
        <v/>
      </c>
      <c r="R59">
        <f>IF($B59="",0,IF(OR(AND(ISNUMBER($J59),$J59&lt;=TODAY(),$E59&lt;&gt;"Dead Lead"),AND($D59="",$E59&lt;&gt;"",$E59&lt;&gt;"Dead Lead",OR($I59="",$I59&lt;TODAY()))),1,0))</f>
        <v/>
      </c>
      <c r="S59">
        <f>IF($R59=1,SUMPRODUCT(($R$4:$R$203=1)*(($Q$4:$Q$203&gt;$Q59)+(($Q$4:$Q$203=$Q59)*(ROW($Q$4:$Q$203)&lt;ROW($Q59)))))+1,"")</f>
        <v/>
      </c>
      <c r="T59" s="11">
        <f>IF($B59="","",0)</f>
        <v/>
      </c>
      <c r="U59">
        <f>IF($B59="",0,IF($E59="Dead Lead",1,0))</f>
        <v/>
      </c>
      <c r="V59">
        <f>IF($U59=1,SUMPRODUCT(($U$4:$U$203=1)*(($J$4:$J$203&lt;$J59)+(($J$4:$J$203=$J59)*(ROW($J$4:$J$203)&lt;ROW($J59)))))+1,"")</f>
        <v/>
      </c>
      <c r="W59" s="12">
        <f>IF($B59="","","")</f>
        <v/>
      </c>
      <c r="X59" s="11">
        <f>IF($B59="","",0)</f>
        <v/>
      </c>
      <c r="Y59">
        <f>IF($B59="",0,IF(AND($R59=0,$E59&lt;&gt;"Dead Lead",ISNUMBER($J59),$J59&lt;=TODAY()+7),1,0))</f>
        <v/>
      </c>
      <c r="Z59">
        <f>IF($Y59=1,SUMPRODUCT(($Y$4:$Y$203=1)*(($J$4:$J$203&lt;$J59)+(($J$4:$J$203=$J59)*(ROW($J$4:$J$203)&lt;ROW($J59)))))+1,"")</f>
        <v/>
      </c>
      <c r="AA59" s="12">
        <f>IF($B59="","","")</f>
        <v/>
      </c>
      <c r="AB59" s="11">
        <f>IF($B59="","",0)</f>
        <v/>
      </c>
      <c r="AC59" s="11" t="n"/>
      <c r="AD59">
        <f>IF($E59="","",IF($E59="VIP Transferred",IF($AA59="","",IF(N($AB59)&gt;=3,"N/A - Closed",$AA59+CHOOSE(N($AB59)+1,1,2,3))),IF($I59="","",IF(VLOOKUP($E59,Lists!$C$2:$E$20,3,FALSE)="CLOSED","N/A - Closed",$I59+VLOOKUP($E59,Lists!$C$2:$E$20,3,FALSE)))))</f>
        <v/>
      </c>
      <c r="AE59">
        <f>IF(AND($AC59="Yes",$W59&lt;&gt;"",N($X59)&lt;3),$W59+CHOOSE(N($X59)+1,1,7,14),"")</f>
        <v/>
      </c>
      <c r="AF59" s="12">
        <f>IF($B59="","","")</f>
        <v/>
      </c>
    </row>
    <row r="60">
      <c r="A60" s="11">
        <f>IF($B60="","","YU-"&amp;TEXT(ROW()-3,"0000"))</f>
        <v/>
      </c>
      <c r="B60" s="11" t="n"/>
      <c r="C60" s="11" t="inlineStr">
        <is>
          <t>Discord</t>
        </is>
      </c>
      <c r="D60" s="11" t="n"/>
      <c r="E60" s="11" t="n"/>
      <c r="F60" s="11">
        <f>IF($E60="","",IF($E60="Dead Lead","Black",IF(IF(ISNUMBER($J60),TODAY()-$J60&gt;3,FALSE),"Red",IF($E60="Reactivation Queue","Red",IF(OR($E60="First Deposit",$E60="Active"),"Green","Yellow")))))</f>
        <v/>
      </c>
      <c r="G60" s="11">
        <f>IF($F60="","",IF($F60="Red",1,IF($F60="Yellow",2,IF($F60="Green",3,4))))</f>
        <v/>
      </c>
      <c r="H60" s="14" t="n"/>
      <c r="I60" s="14" t="n"/>
      <c r="J60" s="12">
        <f>IF($E60="","",IF(AND(ISNUMBER($AD60),ISNUMBER($AE60)),MIN($AD60,$AE60),IF(ISNUMBER($AE60),$AE60,$AD60)))</f>
        <v/>
      </c>
      <c r="K60" s="11">
        <f>IF($E60="","",IF($E60="VIP Transferred",IF(N($AB60)&gt;=3,"Should be Dead Lead (3 attempts, still no deposit) - will auto-update","Day "&amp;CHOOSE(N($AB60)+1,1,2,3)&amp;" URGENT VIP check-in - help them finish KYC and lock in first deposit"),IF(AND($D60="",$E60&lt;&gt;"Dead Lead"),IF(N($T60)&gt;=3,"READY FOR DEAD LEAD (3 attempts, still no sign-up)","GET ROOBET SIGN-UP - "&amp;IFERROR(VLOOKUP($E60,Lists!$C$2:$E$20,2,FALSE),"")),IFERROR(VLOOKUP($E60,Lists!$C$2:$E$20,2,FALSE),""))))&amp;IF($AC60="Yes",IF(N($X60)&gt;=3," | VIP Team checkpoints complete - no more automatic check-ins"," | Day "&amp;CHOOSE(N($X60)+1,1,7,14)&amp;" VIP Team check-in - confirm active/depositing"),"")</f>
        <v/>
      </c>
      <c r="L60" s="11" t="n"/>
      <c r="M60" s="11" t="n"/>
      <c r="N60" s="15" t="n"/>
      <c r="O60" s="11">
        <f>IF($E60="","",IF(AND($E60="Active",$F60="Green"),"Yes","No"))</f>
        <v/>
      </c>
      <c r="P60" s="11" t="n"/>
      <c r="Q60">
        <f>IF($I60="","",ROUND(TODAY()-$I60,0))</f>
        <v/>
      </c>
      <c r="R60">
        <f>IF($B60="",0,IF(OR(AND(ISNUMBER($J60),$J60&lt;=TODAY(),$E60&lt;&gt;"Dead Lead"),AND($D60="",$E60&lt;&gt;"",$E60&lt;&gt;"Dead Lead",OR($I60="",$I60&lt;TODAY()))),1,0))</f>
        <v/>
      </c>
      <c r="S60">
        <f>IF($R60=1,SUMPRODUCT(($R$4:$R$203=1)*(($Q$4:$Q$203&gt;$Q60)+(($Q$4:$Q$203=$Q60)*(ROW($Q$4:$Q$203)&lt;ROW($Q60)))))+1,"")</f>
        <v/>
      </c>
      <c r="T60" s="11">
        <f>IF($B60="","",0)</f>
        <v/>
      </c>
      <c r="U60">
        <f>IF($B60="",0,IF($E60="Dead Lead",1,0))</f>
        <v/>
      </c>
      <c r="V60">
        <f>IF($U60=1,SUMPRODUCT(($U$4:$U$203=1)*(($J$4:$J$203&lt;$J60)+(($J$4:$J$203=$J60)*(ROW($J$4:$J$203)&lt;ROW($J60)))))+1,"")</f>
        <v/>
      </c>
      <c r="W60" s="12">
        <f>IF($B60="","","")</f>
        <v/>
      </c>
      <c r="X60" s="11">
        <f>IF($B60="","",0)</f>
        <v/>
      </c>
      <c r="Y60">
        <f>IF($B60="",0,IF(AND($R60=0,$E60&lt;&gt;"Dead Lead",ISNUMBER($J60),$J60&lt;=TODAY()+7),1,0))</f>
        <v/>
      </c>
      <c r="Z60">
        <f>IF($Y60=1,SUMPRODUCT(($Y$4:$Y$203=1)*(($J$4:$J$203&lt;$J60)+(($J$4:$J$203=$J60)*(ROW($J$4:$J$203)&lt;ROW($J60)))))+1,"")</f>
        <v/>
      </c>
      <c r="AA60" s="12">
        <f>IF($B60="","","")</f>
        <v/>
      </c>
      <c r="AB60" s="11">
        <f>IF($B60="","",0)</f>
        <v/>
      </c>
      <c r="AC60" s="11" t="n"/>
      <c r="AD60">
        <f>IF($E60="","",IF($E60="VIP Transferred",IF($AA60="","",IF(N($AB60)&gt;=3,"N/A - Closed",$AA60+CHOOSE(N($AB60)+1,1,2,3))),IF($I60="","",IF(VLOOKUP($E60,Lists!$C$2:$E$20,3,FALSE)="CLOSED","N/A - Closed",$I60+VLOOKUP($E60,Lists!$C$2:$E$20,3,FALSE)))))</f>
        <v/>
      </c>
      <c r="AE60">
        <f>IF(AND($AC60="Yes",$W60&lt;&gt;"",N($X60)&lt;3),$W60+CHOOSE(N($X60)+1,1,7,14),"")</f>
        <v/>
      </c>
      <c r="AF60" s="12">
        <f>IF($B60="","","")</f>
        <v/>
      </c>
    </row>
    <row r="61">
      <c r="A61" s="11">
        <f>IF($B61="","","YU-"&amp;TEXT(ROW()-3,"0000"))</f>
        <v/>
      </c>
      <c r="B61" s="11" t="n"/>
      <c r="C61" s="11" t="inlineStr">
        <is>
          <t>Discord</t>
        </is>
      </c>
      <c r="D61" s="11" t="n"/>
      <c r="E61" s="11" t="n"/>
      <c r="F61" s="11">
        <f>IF($E61="","",IF($E61="Dead Lead","Black",IF(IF(ISNUMBER($J61),TODAY()-$J61&gt;3,FALSE),"Red",IF($E61="Reactivation Queue","Red",IF(OR($E61="First Deposit",$E61="Active"),"Green","Yellow")))))</f>
        <v/>
      </c>
      <c r="G61" s="11">
        <f>IF($F61="","",IF($F61="Red",1,IF($F61="Yellow",2,IF($F61="Green",3,4))))</f>
        <v/>
      </c>
      <c r="H61" s="14" t="n"/>
      <c r="I61" s="14" t="n"/>
      <c r="J61" s="12">
        <f>IF($E61="","",IF(AND(ISNUMBER($AD61),ISNUMBER($AE61)),MIN($AD61,$AE61),IF(ISNUMBER($AE61),$AE61,$AD61)))</f>
        <v/>
      </c>
      <c r="K61" s="11">
        <f>IF($E61="","",IF($E61="VIP Transferred",IF(N($AB61)&gt;=3,"Should be Dead Lead (3 attempts, still no deposit) - will auto-update","Day "&amp;CHOOSE(N($AB61)+1,1,2,3)&amp;" URGENT VIP check-in - help them finish KYC and lock in first deposit"),IF(AND($D61="",$E61&lt;&gt;"Dead Lead"),IF(N($T61)&gt;=3,"READY FOR DEAD LEAD (3 attempts, still no sign-up)","GET ROOBET SIGN-UP - "&amp;IFERROR(VLOOKUP($E61,Lists!$C$2:$E$20,2,FALSE),"")),IFERROR(VLOOKUP($E61,Lists!$C$2:$E$20,2,FALSE),""))))&amp;IF($AC61="Yes",IF(N($X61)&gt;=3," | VIP Team checkpoints complete - no more automatic check-ins"," | Day "&amp;CHOOSE(N($X61)+1,1,7,14)&amp;" VIP Team check-in - confirm active/depositing"),"")</f>
        <v/>
      </c>
      <c r="L61" s="11" t="n"/>
      <c r="M61" s="11" t="n"/>
      <c r="N61" s="15" t="n"/>
      <c r="O61" s="11">
        <f>IF($E61="","",IF(AND($E61="Active",$F61="Green"),"Yes","No"))</f>
        <v/>
      </c>
      <c r="P61" s="11" t="n"/>
      <c r="Q61">
        <f>IF($I61="","",ROUND(TODAY()-$I61,0))</f>
        <v/>
      </c>
      <c r="R61">
        <f>IF($B61="",0,IF(OR(AND(ISNUMBER($J61),$J61&lt;=TODAY(),$E61&lt;&gt;"Dead Lead"),AND($D61="",$E61&lt;&gt;"",$E61&lt;&gt;"Dead Lead",OR($I61="",$I61&lt;TODAY()))),1,0))</f>
        <v/>
      </c>
      <c r="S61">
        <f>IF($R61=1,SUMPRODUCT(($R$4:$R$203=1)*(($Q$4:$Q$203&gt;$Q61)+(($Q$4:$Q$203=$Q61)*(ROW($Q$4:$Q$203)&lt;ROW($Q61)))))+1,"")</f>
        <v/>
      </c>
      <c r="T61" s="11">
        <f>IF($B61="","",0)</f>
        <v/>
      </c>
      <c r="U61">
        <f>IF($B61="",0,IF($E61="Dead Lead",1,0))</f>
        <v/>
      </c>
      <c r="V61">
        <f>IF($U61=1,SUMPRODUCT(($U$4:$U$203=1)*(($J$4:$J$203&lt;$J61)+(($J$4:$J$203=$J61)*(ROW($J$4:$J$203)&lt;ROW($J61)))))+1,"")</f>
        <v/>
      </c>
      <c r="W61" s="12">
        <f>IF($B61="","","")</f>
        <v/>
      </c>
      <c r="X61" s="11">
        <f>IF($B61="","",0)</f>
        <v/>
      </c>
      <c r="Y61">
        <f>IF($B61="",0,IF(AND($R61=0,$E61&lt;&gt;"Dead Lead",ISNUMBER($J61),$J61&lt;=TODAY()+7),1,0))</f>
        <v/>
      </c>
      <c r="Z61">
        <f>IF($Y61=1,SUMPRODUCT(($Y$4:$Y$203=1)*(($J$4:$J$203&lt;$J61)+(($J$4:$J$203=$J61)*(ROW($J$4:$J$203)&lt;ROW($J61)))))+1,"")</f>
        <v/>
      </c>
      <c r="AA61" s="12">
        <f>IF($B61="","","")</f>
        <v/>
      </c>
      <c r="AB61" s="11">
        <f>IF($B61="","",0)</f>
        <v/>
      </c>
      <c r="AC61" s="11" t="n"/>
      <c r="AD61">
        <f>IF($E61="","",IF($E61="VIP Transferred",IF($AA61="","",IF(N($AB61)&gt;=3,"N/A - Closed",$AA61+CHOOSE(N($AB61)+1,1,2,3))),IF($I61="","",IF(VLOOKUP($E61,Lists!$C$2:$E$20,3,FALSE)="CLOSED","N/A - Closed",$I61+VLOOKUP($E61,Lists!$C$2:$E$20,3,FALSE)))))</f>
        <v/>
      </c>
      <c r="AE61">
        <f>IF(AND($AC61="Yes",$W61&lt;&gt;"",N($X61)&lt;3),$W61+CHOOSE(N($X61)+1,1,7,14),"")</f>
        <v/>
      </c>
      <c r="AF61" s="12">
        <f>IF($B61="","","")</f>
        <v/>
      </c>
    </row>
    <row r="62">
      <c r="A62" s="11">
        <f>IF($B62="","","YU-"&amp;TEXT(ROW()-3,"0000"))</f>
        <v/>
      </c>
      <c r="B62" s="11" t="n"/>
      <c r="C62" s="11" t="inlineStr">
        <is>
          <t>Discord</t>
        </is>
      </c>
      <c r="D62" s="11" t="n"/>
      <c r="E62" s="11" t="n"/>
      <c r="F62" s="11">
        <f>IF($E62="","",IF($E62="Dead Lead","Black",IF(IF(ISNUMBER($J62),TODAY()-$J62&gt;3,FALSE),"Red",IF($E62="Reactivation Queue","Red",IF(OR($E62="First Deposit",$E62="Active"),"Green","Yellow")))))</f>
        <v/>
      </c>
      <c r="G62" s="11">
        <f>IF($F62="","",IF($F62="Red",1,IF($F62="Yellow",2,IF($F62="Green",3,4))))</f>
        <v/>
      </c>
      <c r="H62" s="14" t="n"/>
      <c r="I62" s="14" t="n"/>
      <c r="J62" s="12">
        <f>IF($E62="","",IF(AND(ISNUMBER($AD62),ISNUMBER($AE62)),MIN($AD62,$AE62),IF(ISNUMBER($AE62),$AE62,$AD62)))</f>
        <v/>
      </c>
      <c r="K62" s="11">
        <f>IF($E62="","",IF($E62="VIP Transferred",IF(N($AB62)&gt;=3,"Should be Dead Lead (3 attempts, still no deposit) - will auto-update","Day "&amp;CHOOSE(N($AB62)+1,1,2,3)&amp;" URGENT VIP check-in - help them finish KYC and lock in first deposit"),IF(AND($D62="",$E62&lt;&gt;"Dead Lead"),IF(N($T62)&gt;=3,"READY FOR DEAD LEAD (3 attempts, still no sign-up)","GET ROOBET SIGN-UP - "&amp;IFERROR(VLOOKUP($E62,Lists!$C$2:$E$20,2,FALSE),"")),IFERROR(VLOOKUP($E62,Lists!$C$2:$E$20,2,FALSE),""))))&amp;IF($AC62="Yes",IF(N($X62)&gt;=3," | VIP Team checkpoints complete - no more automatic check-ins"," | Day "&amp;CHOOSE(N($X62)+1,1,7,14)&amp;" VIP Team check-in - confirm active/depositing"),"")</f>
        <v/>
      </c>
      <c r="L62" s="11" t="n"/>
      <c r="M62" s="11" t="n"/>
      <c r="N62" s="15" t="n"/>
      <c r="O62" s="11">
        <f>IF($E62="","",IF(AND($E62="Active",$F62="Green"),"Yes","No"))</f>
        <v/>
      </c>
      <c r="P62" s="11" t="n"/>
      <c r="Q62">
        <f>IF($I62="","",ROUND(TODAY()-$I62,0))</f>
        <v/>
      </c>
      <c r="R62">
        <f>IF($B62="",0,IF(OR(AND(ISNUMBER($J62),$J62&lt;=TODAY(),$E62&lt;&gt;"Dead Lead"),AND($D62="",$E62&lt;&gt;"",$E62&lt;&gt;"Dead Lead",OR($I62="",$I62&lt;TODAY()))),1,0))</f>
        <v/>
      </c>
      <c r="S62">
        <f>IF($R62=1,SUMPRODUCT(($R$4:$R$203=1)*(($Q$4:$Q$203&gt;$Q62)+(($Q$4:$Q$203=$Q62)*(ROW($Q$4:$Q$203)&lt;ROW($Q62)))))+1,"")</f>
        <v/>
      </c>
      <c r="T62" s="11">
        <f>IF($B62="","",0)</f>
        <v/>
      </c>
      <c r="U62">
        <f>IF($B62="",0,IF($E62="Dead Lead",1,0))</f>
        <v/>
      </c>
      <c r="V62">
        <f>IF($U62=1,SUMPRODUCT(($U$4:$U$203=1)*(($J$4:$J$203&lt;$J62)+(($J$4:$J$203=$J62)*(ROW($J$4:$J$203)&lt;ROW($J62)))))+1,"")</f>
        <v/>
      </c>
      <c r="W62" s="12">
        <f>IF($B62="","","")</f>
        <v/>
      </c>
      <c r="X62" s="11">
        <f>IF($B62="","",0)</f>
        <v/>
      </c>
      <c r="Y62">
        <f>IF($B62="",0,IF(AND($R62=0,$E62&lt;&gt;"Dead Lead",ISNUMBER($J62),$J62&lt;=TODAY()+7),1,0))</f>
        <v/>
      </c>
      <c r="Z62">
        <f>IF($Y62=1,SUMPRODUCT(($Y$4:$Y$203=1)*(($J$4:$J$203&lt;$J62)+(($J$4:$J$203=$J62)*(ROW($J$4:$J$203)&lt;ROW($J62)))))+1,"")</f>
        <v/>
      </c>
      <c r="AA62" s="12">
        <f>IF($B62="","","")</f>
        <v/>
      </c>
      <c r="AB62" s="11">
        <f>IF($B62="","",0)</f>
        <v/>
      </c>
      <c r="AC62" s="11" t="n"/>
      <c r="AD62">
        <f>IF($E62="","",IF($E62="VIP Transferred",IF($AA62="","",IF(N($AB62)&gt;=3,"N/A - Closed",$AA62+CHOOSE(N($AB62)+1,1,2,3))),IF($I62="","",IF(VLOOKUP($E62,Lists!$C$2:$E$20,3,FALSE)="CLOSED","N/A - Closed",$I62+VLOOKUP($E62,Lists!$C$2:$E$20,3,FALSE)))))</f>
        <v/>
      </c>
      <c r="AE62">
        <f>IF(AND($AC62="Yes",$W62&lt;&gt;"",N($X62)&lt;3),$W62+CHOOSE(N($X62)+1,1,7,14),"")</f>
        <v/>
      </c>
      <c r="AF62" s="12">
        <f>IF($B62="","","")</f>
        <v/>
      </c>
    </row>
    <row r="63">
      <c r="A63" s="11">
        <f>IF($B63="","","YU-"&amp;TEXT(ROW()-3,"0000"))</f>
        <v/>
      </c>
      <c r="B63" s="11" t="n"/>
      <c r="C63" s="11" t="inlineStr">
        <is>
          <t>Discord</t>
        </is>
      </c>
      <c r="D63" s="11" t="n"/>
      <c r="E63" s="11" t="n"/>
      <c r="F63" s="11">
        <f>IF($E63="","",IF($E63="Dead Lead","Black",IF(IF(ISNUMBER($J63),TODAY()-$J63&gt;3,FALSE),"Red",IF($E63="Reactivation Queue","Red",IF(OR($E63="First Deposit",$E63="Active"),"Green","Yellow")))))</f>
        <v/>
      </c>
      <c r="G63" s="11">
        <f>IF($F63="","",IF($F63="Red",1,IF($F63="Yellow",2,IF($F63="Green",3,4))))</f>
        <v/>
      </c>
      <c r="H63" s="14" t="n"/>
      <c r="I63" s="14" t="n"/>
      <c r="J63" s="12">
        <f>IF($E63="","",IF(AND(ISNUMBER($AD63),ISNUMBER($AE63)),MIN($AD63,$AE63),IF(ISNUMBER($AE63),$AE63,$AD63)))</f>
        <v/>
      </c>
      <c r="K63" s="11">
        <f>IF($E63="","",IF($E63="VIP Transferred",IF(N($AB63)&gt;=3,"Should be Dead Lead (3 attempts, still no deposit) - will auto-update","Day "&amp;CHOOSE(N($AB63)+1,1,2,3)&amp;" URGENT VIP check-in - help them finish KYC and lock in first deposit"),IF(AND($D63="",$E63&lt;&gt;"Dead Lead"),IF(N($T63)&gt;=3,"READY FOR DEAD LEAD (3 attempts, still no sign-up)","GET ROOBET SIGN-UP - "&amp;IFERROR(VLOOKUP($E63,Lists!$C$2:$E$20,2,FALSE),"")),IFERROR(VLOOKUP($E63,Lists!$C$2:$E$20,2,FALSE),""))))&amp;IF($AC63="Yes",IF(N($X63)&gt;=3," | VIP Team checkpoints complete - no more automatic check-ins"," | Day "&amp;CHOOSE(N($X63)+1,1,7,14)&amp;" VIP Team check-in - confirm active/depositing"),"")</f>
        <v/>
      </c>
      <c r="L63" s="11" t="n"/>
      <c r="M63" s="11" t="n"/>
      <c r="N63" s="15" t="n"/>
      <c r="O63" s="11">
        <f>IF($E63="","",IF(AND($E63="Active",$F63="Green"),"Yes","No"))</f>
        <v/>
      </c>
      <c r="P63" s="11" t="n"/>
      <c r="Q63">
        <f>IF($I63="","",ROUND(TODAY()-$I63,0))</f>
        <v/>
      </c>
      <c r="R63">
        <f>IF($B63="",0,IF(OR(AND(ISNUMBER($J63),$J63&lt;=TODAY(),$E63&lt;&gt;"Dead Lead"),AND($D63="",$E63&lt;&gt;"",$E63&lt;&gt;"Dead Lead",OR($I63="",$I63&lt;TODAY()))),1,0))</f>
        <v/>
      </c>
      <c r="S63">
        <f>IF($R63=1,SUMPRODUCT(($R$4:$R$203=1)*(($Q$4:$Q$203&gt;$Q63)+(($Q$4:$Q$203=$Q63)*(ROW($Q$4:$Q$203)&lt;ROW($Q63)))))+1,"")</f>
        <v/>
      </c>
      <c r="T63" s="11">
        <f>IF($B63="","",0)</f>
        <v/>
      </c>
      <c r="U63">
        <f>IF($B63="",0,IF($E63="Dead Lead",1,0))</f>
        <v/>
      </c>
      <c r="V63">
        <f>IF($U63=1,SUMPRODUCT(($U$4:$U$203=1)*(($J$4:$J$203&lt;$J63)+(($J$4:$J$203=$J63)*(ROW($J$4:$J$203)&lt;ROW($J63)))))+1,"")</f>
        <v/>
      </c>
      <c r="W63" s="12">
        <f>IF($B63="","","")</f>
        <v/>
      </c>
      <c r="X63" s="11">
        <f>IF($B63="","",0)</f>
        <v/>
      </c>
      <c r="Y63">
        <f>IF($B63="",0,IF(AND($R63=0,$E63&lt;&gt;"Dead Lead",ISNUMBER($J63),$J63&lt;=TODAY()+7),1,0))</f>
        <v/>
      </c>
      <c r="Z63">
        <f>IF($Y63=1,SUMPRODUCT(($Y$4:$Y$203=1)*(($J$4:$J$203&lt;$J63)+(($J$4:$J$203=$J63)*(ROW($J$4:$J$203)&lt;ROW($J63)))))+1,"")</f>
        <v/>
      </c>
      <c r="AA63" s="12">
        <f>IF($B63="","","")</f>
        <v/>
      </c>
      <c r="AB63" s="11">
        <f>IF($B63="","",0)</f>
        <v/>
      </c>
      <c r="AC63" s="11" t="n"/>
      <c r="AD63">
        <f>IF($E63="","",IF($E63="VIP Transferred",IF($AA63="","",IF(N($AB63)&gt;=3,"N/A - Closed",$AA63+CHOOSE(N($AB63)+1,1,2,3))),IF($I63="","",IF(VLOOKUP($E63,Lists!$C$2:$E$20,3,FALSE)="CLOSED","N/A - Closed",$I63+VLOOKUP($E63,Lists!$C$2:$E$20,3,FALSE)))))</f>
        <v/>
      </c>
      <c r="AE63">
        <f>IF(AND($AC63="Yes",$W63&lt;&gt;"",N($X63)&lt;3),$W63+CHOOSE(N($X63)+1,1,7,14),"")</f>
        <v/>
      </c>
      <c r="AF63" s="12">
        <f>IF($B63="","","")</f>
        <v/>
      </c>
    </row>
    <row r="64">
      <c r="A64" s="11">
        <f>IF($B64="","","YU-"&amp;TEXT(ROW()-3,"0000"))</f>
        <v/>
      </c>
      <c r="B64" s="11" t="n"/>
      <c r="C64" s="11" t="inlineStr">
        <is>
          <t>Discord</t>
        </is>
      </c>
      <c r="D64" s="11" t="n"/>
      <c r="E64" s="11" t="n"/>
      <c r="F64" s="11">
        <f>IF($E64="","",IF($E64="Dead Lead","Black",IF(IF(ISNUMBER($J64),TODAY()-$J64&gt;3,FALSE),"Red",IF($E64="Reactivation Queue","Red",IF(OR($E64="First Deposit",$E64="Active"),"Green","Yellow")))))</f>
        <v/>
      </c>
      <c r="G64" s="11">
        <f>IF($F64="","",IF($F64="Red",1,IF($F64="Yellow",2,IF($F64="Green",3,4))))</f>
        <v/>
      </c>
      <c r="H64" s="14" t="n"/>
      <c r="I64" s="14" t="n"/>
      <c r="J64" s="12">
        <f>IF($E64="","",IF(AND(ISNUMBER($AD64),ISNUMBER($AE64)),MIN($AD64,$AE64),IF(ISNUMBER($AE64),$AE64,$AD64)))</f>
        <v/>
      </c>
      <c r="K64" s="11">
        <f>IF($E64="","",IF($E64="VIP Transferred",IF(N($AB64)&gt;=3,"Should be Dead Lead (3 attempts, still no deposit) - will auto-update","Day "&amp;CHOOSE(N($AB64)+1,1,2,3)&amp;" URGENT VIP check-in - help them finish KYC and lock in first deposit"),IF(AND($D64="",$E64&lt;&gt;"Dead Lead"),IF(N($T64)&gt;=3,"READY FOR DEAD LEAD (3 attempts, still no sign-up)","GET ROOBET SIGN-UP - "&amp;IFERROR(VLOOKUP($E64,Lists!$C$2:$E$20,2,FALSE),"")),IFERROR(VLOOKUP($E64,Lists!$C$2:$E$20,2,FALSE),""))))&amp;IF($AC64="Yes",IF(N($X64)&gt;=3," | VIP Team checkpoints complete - no more automatic check-ins"," | Day "&amp;CHOOSE(N($X64)+1,1,7,14)&amp;" VIP Team check-in - confirm active/depositing"),"")</f>
        <v/>
      </c>
      <c r="L64" s="11" t="n"/>
      <c r="M64" s="11" t="n"/>
      <c r="N64" s="15" t="n"/>
      <c r="O64" s="11">
        <f>IF($E64="","",IF(AND($E64="Active",$F64="Green"),"Yes","No"))</f>
        <v/>
      </c>
      <c r="P64" s="11" t="n"/>
      <c r="Q64">
        <f>IF($I64="","",ROUND(TODAY()-$I64,0))</f>
        <v/>
      </c>
      <c r="R64">
        <f>IF($B64="",0,IF(OR(AND(ISNUMBER($J64),$J64&lt;=TODAY(),$E64&lt;&gt;"Dead Lead"),AND($D64="",$E64&lt;&gt;"",$E64&lt;&gt;"Dead Lead",OR($I64="",$I64&lt;TODAY()))),1,0))</f>
        <v/>
      </c>
      <c r="S64">
        <f>IF($R64=1,SUMPRODUCT(($R$4:$R$203=1)*(($Q$4:$Q$203&gt;$Q64)+(($Q$4:$Q$203=$Q64)*(ROW($Q$4:$Q$203)&lt;ROW($Q64)))))+1,"")</f>
        <v/>
      </c>
      <c r="T64" s="11">
        <f>IF($B64="","",0)</f>
        <v/>
      </c>
      <c r="U64">
        <f>IF($B64="",0,IF($E64="Dead Lead",1,0))</f>
        <v/>
      </c>
      <c r="V64">
        <f>IF($U64=1,SUMPRODUCT(($U$4:$U$203=1)*(($J$4:$J$203&lt;$J64)+(($J$4:$J$203=$J64)*(ROW($J$4:$J$203)&lt;ROW($J64)))))+1,"")</f>
        <v/>
      </c>
      <c r="W64" s="12">
        <f>IF($B64="","","")</f>
        <v/>
      </c>
      <c r="X64" s="11">
        <f>IF($B64="","",0)</f>
        <v/>
      </c>
      <c r="Y64">
        <f>IF($B64="",0,IF(AND($R64=0,$E64&lt;&gt;"Dead Lead",ISNUMBER($J64),$J64&lt;=TODAY()+7),1,0))</f>
        <v/>
      </c>
      <c r="Z64">
        <f>IF($Y64=1,SUMPRODUCT(($Y$4:$Y$203=1)*(($J$4:$J$203&lt;$J64)+(($J$4:$J$203=$J64)*(ROW($J$4:$J$203)&lt;ROW($J64)))))+1,"")</f>
        <v/>
      </c>
      <c r="AA64" s="12">
        <f>IF($B64="","","")</f>
        <v/>
      </c>
      <c r="AB64" s="11">
        <f>IF($B64="","",0)</f>
        <v/>
      </c>
      <c r="AC64" s="11" t="n"/>
      <c r="AD64">
        <f>IF($E64="","",IF($E64="VIP Transferred",IF($AA64="","",IF(N($AB64)&gt;=3,"N/A - Closed",$AA64+CHOOSE(N($AB64)+1,1,2,3))),IF($I64="","",IF(VLOOKUP($E64,Lists!$C$2:$E$20,3,FALSE)="CLOSED","N/A - Closed",$I64+VLOOKUP($E64,Lists!$C$2:$E$20,3,FALSE)))))</f>
        <v/>
      </c>
      <c r="AE64">
        <f>IF(AND($AC64="Yes",$W64&lt;&gt;"",N($X64)&lt;3),$W64+CHOOSE(N($X64)+1,1,7,14),"")</f>
        <v/>
      </c>
      <c r="AF64" s="12">
        <f>IF($B64="","","")</f>
        <v/>
      </c>
    </row>
    <row r="65">
      <c r="A65" s="11">
        <f>IF($B65="","","YU-"&amp;TEXT(ROW()-3,"0000"))</f>
        <v/>
      </c>
      <c r="B65" s="11" t="n"/>
      <c r="C65" s="11" t="inlineStr">
        <is>
          <t>Discord</t>
        </is>
      </c>
      <c r="D65" s="11" t="n"/>
      <c r="E65" s="11" t="n"/>
      <c r="F65" s="11">
        <f>IF($E65="","",IF($E65="Dead Lead","Black",IF(IF(ISNUMBER($J65),TODAY()-$J65&gt;3,FALSE),"Red",IF($E65="Reactivation Queue","Red",IF(OR($E65="First Deposit",$E65="Active"),"Green","Yellow")))))</f>
        <v/>
      </c>
      <c r="G65" s="11">
        <f>IF($F65="","",IF($F65="Red",1,IF($F65="Yellow",2,IF($F65="Green",3,4))))</f>
        <v/>
      </c>
      <c r="H65" s="14" t="n"/>
      <c r="I65" s="14" t="n"/>
      <c r="J65" s="12">
        <f>IF($E65="","",IF(AND(ISNUMBER($AD65),ISNUMBER($AE65)),MIN($AD65,$AE65),IF(ISNUMBER($AE65),$AE65,$AD65)))</f>
        <v/>
      </c>
      <c r="K65" s="11">
        <f>IF($E65="","",IF($E65="VIP Transferred",IF(N($AB65)&gt;=3,"Should be Dead Lead (3 attempts, still no deposit) - will auto-update","Day "&amp;CHOOSE(N($AB65)+1,1,2,3)&amp;" URGENT VIP check-in - help them finish KYC and lock in first deposit"),IF(AND($D65="",$E65&lt;&gt;"Dead Lead"),IF(N($T65)&gt;=3,"READY FOR DEAD LEAD (3 attempts, still no sign-up)","GET ROOBET SIGN-UP - "&amp;IFERROR(VLOOKUP($E65,Lists!$C$2:$E$20,2,FALSE),"")),IFERROR(VLOOKUP($E65,Lists!$C$2:$E$20,2,FALSE),""))))&amp;IF($AC65="Yes",IF(N($X65)&gt;=3," | VIP Team checkpoints complete - no more automatic check-ins"," | Day "&amp;CHOOSE(N($X65)+1,1,7,14)&amp;" VIP Team check-in - confirm active/depositing"),"")</f>
        <v/>
      </c>
      <c r="L65" s="11" t="n"/>
      <c r="M65" s="11" t="n"/>
      <c r="N65" s="15" t="n"/>
      <c r="O65" s="11">
        <f>IF($E65="","",IF(AND($E65="Active",$F65="Green"),"Yes","No"))</f>
        <v/>
      </c>
      <c r="P65" s="11" t="n"/>
      <c r="Q65">
        <f>IF($I65="","",ROUND(TODAY()-$I65,0))</f>
        <v/>
      </c>
      <c r="R65">
        <f>IF($B65="",0,IF(OR(AND(ISNUMBER($J65),$J65&lt;=TODAY(),$E65&lt;&gt;"Dead Lead"),AND($D65="",$E65&lt;&gt;"",$E65&lt;&gt;"Dead Lead",OR($I65="",$I65&lt;TODAY()))),1,0))</f>
        <v/>
      </c>
      <c r="S65">
        <f>IF($R65=1,SUMPRODUCT(($R$4:$R$203=1)*(($Q$4:$Q$203&gt;$Q65)+(($Q$4:$Q$203=$Q65)*(ROW($Q$4:$Q$203)&lt;ROW($Q65)))))+1,"")</f>
        <v/>
      </c>
      <c r="T65" s="11">
        <f>IF($B65="","",0)</f>
        <v/>
      </c>
      <c r="U65">
        <f>IF($B65="",0,IF($E65="Dead Lead",1,0))</f>
        <v/>
      </c>
      <c r="V65">
        <f>IF($U65=1,SUMPRODUCT(($U$4:$U$203=1)*(($J$4:$J$203&lt;$J65)+(($J$4:$J$203=$J65)*(ROW($J$4:$J$203)&lt;ROW($J65)))))+1,"")</f>
        <v/>
      </c>
      <c r="W65" s="12">
        <f>IF($B65="","","")</f>
        <v/>
      </c>
      <c r="X65" s="11">
        <f>IF($B65="","",0)</f>
        <v/>
      </c>
      <c r="Y65">
        <f>IF($B65="",0,IF(AND($R65=0,$E65&lt;&gt;"Dead Lead",ISNUMBER($J65),$J65&lt;=TODAY()+7),1,0))</f>
        <v/>
      </c>
      <c r="Z65">
        <f>IF($Y65=1,SUMPRODUCT(($Y$4:$Y$203=1)*(($J$4:$J$203&lt;$J65)+(($J$4:$J$203=$J65)*(ROW($J$4:$J$203)&lt;ROW($J65)))))+1,"")</f>
        <v/>
      </c>
      <c r="AA65" s="12">
        <f>IF($B65="","","")</f>
        <v/>
      </c>
      <c r="AB65" s="11">
        <f>IF($B65="","",0)</f>
        <v/>
      </c>
      <c r="AC65" s="11" t="n"/>
      <c r="AD65">
        <f>IF($E65="","",IF($E65="VIP Transferred",IF($AA65="","",IF(N($AB65)&gt;=3,"N/A - Closed",$AA65+CHOOSE(N($AB65)+1,1,2,3))),IF($I65="","",IF(VLOOKUP($E65,Lists!$C$2:$E$20,3,FALSE)="CLOSED","N/A - Closed",$I65+VLOOKUP($E65,Lists!$C$2:$E$20,3,FALSE)))))</f>
        <v/>
      </c>
      <c r="AE65">
        <f>IF(AND($AC65="Yes",$W65&lt;&gt;"",N($X65)&lt;3),$W65+CHOOSE(N($X65)+1,1,7,14),"")</f>
        <v/>
      </c>
      <c r="AF65" s="12">
        <f>IF($B65="","","")</f>
        <v/>
      </c>
    </row>
    <row r="66">
      <c r="A66" s="11">
        <f>IF($B66="","","YU-"&amp;TEXT(ROW()-3,"0000"))</f>
        <v/>
      </c>
      <c r="B66" s="11" t="n"/>
      <c r="C66" s="11" t="inlineStr">
        <is>
          <t>Discord</t>
        </is>
      </c>
      <c r="D66" s="11" t="n"/>
      <c r="E66" s="11" t="n"/>
      <c r="F66" s="11">
        <f>IF($E66="","",IF($E66="Dead Lead","Black",IF(IF(ISNUMBER($J66),TODAY()-$J66&gt;3,FALSE),"Red",IF($E66="Reactivation Queue","Red",IF(OR($E66="First Deposit",$E66="Active"),"Green","Yellow")))))</f>
        <v/>
      </c>
      <c r="G66" s="11">
        <f>IF($F66="","",IF($F66="Red",1,IF($F66="Yellow",2,IF($F66="Green",3,4))))</f>
        <v/>
      </c>
      <c r="H66" s="14" t="n"/>
      <c r="I66" s="14" t="n"/>
      <c r="J66" s="12">
        <f>IF($E66="","",IF(AND(ISNUMBER($AD66),ISNUMBER($AE66)),MIN($AD66,$AE66),IF(ISNUMBER($AE66),$AE66,$AD66)))</f>
        <v/>
      </c>
      <c r="K66" s="11">
        <f>IF($E66="","",IF($E66="VIP Transferred",IF(N($AB66)&gt;=3,"Should be Dead Lead (3 attempts, still no deposit) - will auto-update","Day "&amp;CHOOSE(N($AB66)+1,1,2,3)&amp;" URGENT VIP check-in - help them finish KYC and lock in first deposit"),IF(AND($D66="",$E66&lt;&gt;"Dead Lead"),IF(N($T66)&gt;=3,"READY FOR DEAD LEAD (3 attempts, still no sign-up)","GET ROOBET SIGN-UP - "&amp;IFERROR(VLOOKUP($E66,Lists!$C$2:$E$20,2,FALSE),"")),IFERROR(VLOOKUP($E66,Lists!$C$2:$E$20,2,FALSE),""))))&amp;IF($AC66="Yes",IF(N($X66)&gt;=3," | VIP Team checkpoints complete - no more automatic check-ins"," | Day "&amp;CHOOSE(N($X66)+1,1,7,14)&amp;" VIP Team check-in - confirm active/depositing"),"")</f>
        <v/>
      </c>
      <c r="L66" s="11" t="n"/>
      <c r="M66" s="11" t="n"/>
      <c r="N66" s="15" t="n"/>
      <c r="O66" s="11">
        <f>IF($E66="","",IF(AND($E66="Active",$F66="Green"),"Yes","No"))</f>
        <v/>
      </c>
      <c r="P66" s="11" t="n"/>
      <c r="Q66">
        <f>IF($I66="","",ROUND(TODAY()-$I66,0))</f>
        <v/>
      </c>
      <c r="R66">
        <f>IF($B66="",0,IF(OR(AND(ISNUMBER($J66),$J66&lt;=TODAY(),$E66&lt;&gt;"Dead Lead"),AND($D66="",$E66&lt;&gt;"",$E66&lt;&gt;"Dead Lead",OR($I66="",$I66&lt;TODAY()))),1,0))</f>
        <v/>
      </c>
      <c r="S66">
        <f>IF($R66=1,SUMPRODUCT(($R$4:$R$203=1)*(($Q$4:$Q$203&gt;$Q66)+(($Q$4:$Q$203=$Q66)*(ROW($Q$4:$Q$203)&lt;ROW($Q66)))))+1,"")</f>
        <v/>
      </c>
      <c r="T66" s="11">
        <f>IF($B66="","",0)</f>
        <v/>
      </c>
      <c r="U66">
        <f>IF($B66="",0,IF($E66="Dead Lead",1,0))</f>
        <v/>
      </c>
      <c r="V66">
        <f>IF($U66=1,SUMPRODUCT(($U$4:$U$203=1)*(($J$4:$J$203&lt;$J66)+(($J$4:$J$203=$J66)*(ROW($J$4:$J$203)&lt;ROW($J66)))))+1,"")</f>
        <v/>
      </c>
      <c r="W66" s="12">
        <f>IF($B66="","","")</f>
        <v/>
      </c>
      <c r="X66" s="11">
        <f>IF($B66="","",0)</f>
        <v/>
      </c>
      <c r="Y66">
        <f>IF($B66="",0,IF(AND($R66=0,$E66&lt;&gt;"Dead Lead",ISNUMBER($J66),$J66&lt;=TODAY()+7),1,0))</f>
        <v/>
      </c>
      <c r="Z66">
        <f>IF($Y66=1,SUMPRODUCT(($Y$4:$Y$203=1)*(($J$4:$J$203&lt;$J66)+(($J$4:$J$203=$J66)*(ROW($J$4:$J$203)&lt;ROW($J66)))))+1,"")</f>
        <v/>
      </c>
      <c r="AA66" s="12">
        <f>IF($B66="","","")</f>
        <v/>
      </c>
      <c r="AB66" s="11">
        <f>IF($B66="","",0)</f>
        <v/>
      </c>
      <c r="AC66" s="11" t="n"/>
      <c r="AD66">
        <f>IF($E66="","",IF($E66="VIP Transferred",IF($AA66="","",IF(N($AB66)&gt;=3,"N/A - Closed",$AA66+CHOOSE(N($AB66)+1,1,2,3))),IF($I66="","",IF(VLOOKUP($E66,Lists!$C$2:$E$20,3,FALSE)="CLOSED","N/A - Closed",$I66+VLOOKUP($E66,Lists!$C$2:$E$20,3,FALSE)))))</f>
        <v/>
      </c>
      <c r="AE66">
        <f>IF(AND($AC66="Yes",$W66&lt;&gt;"",N($X66)&lt;3),$W66+CHOOSE(N($X66)+1,1,7,14),"")</f>
        <v/>
      </c>
      <c r="AF66" s="12">
        <f>IF($B66="","","")</f>
        <v/>
      </c>
    </row>
    <row r="67">
      <c r="A67" s="11">
        <f>IF($B67="","","YU-"&amp;TEXT(ROW()-3,"0000"))</f>
        <v/>
      </c>
      <c r="B67" s="11" t="n"/>
      <c r="C67" s="11" t="inlineStr">
        <is>
          <t>Discord</t>
        </is>
      </c>
      <c r="D67" s="11" t="n"/>
      <c r="E67" s="11" t="n"/>
      <c r="F67" s="11">
        <f>IF($E67="","",IF($E67="Dead Lead","Black",IF(IF(ISNUMBER($J67),TODAY()-$J67&gt;3,FALSE),"Red",IF($E67="Reactivation Queue","Red",IF(OR($E67="First Deposit",$E67="Active"),"Green","Yellow")))))</f>
        <v/>
      </c>
      <c r="G67" s="11">
        <f>IF($F67="","",IF($F67="Red",1,IF($F67="Yellow",2,IF($F67="Green",3,4))))</f>
        <v/>
      </c>
      <c r="H67" s="14" t="n"/>
      <c r="I67" s="14" t="n"/>
      <c r="J67" s="12">
        <f>IF($E67="","",IF(AND(ISNUMBER($AD67),ISNUMBER($AE67)),MIN($AD67,$AE67),IF(ISNUMBER($AE67),$AE67,$AD67)))</f>
        <v/>
      </c>
      <c r="K67" s="11">
        <f>IF($E67="","",IF($E67="VIP Transferred",IF(N($AB67)&gt;=3,"Should be Dead Lead (3 attempts, still no deposit) - will auto-update","Day "&amp;CHOOSE(N($AB67)+1,1,2,3)&amp;" URGENT VIP check-in - help them finish KYC and lock in first deposit"),IF(AND($D67="",$E67&lt;&gt;"Dead Lead"),IF(N($T67)&gt;=3,"READY FOR DEAD LEAD (3 attempts, still no sign-up)","GET ROOBET SIGN-UP - "&amp;IFERROR(VLOOKUP($E67,Lists!$C$2:$E$20,2,FALSE),"")),IFERROR(VLOOKUP($E67,Lists!$C$2:$E$20,2,FALSE),""))))&amp;IF($AC67="Yes",IF(N($X67)&gt;=3," | VIP Team checkpoints complete - no more automatic check-ins"," | Day "&amp;CHOOSE(N($X67)+1,1,7,14)&amp;" VIP Team check-in - confirm active/depositing"),"")</f>
        <v/>
      </c>
      <c r="L67" s="11" t="n"/>
      <c r="M67" s="11" t="n"/>
      <c r="N67" s="15" t="n"/>
      <c r="O67" s="11">
        <f>IF($E67="","",IF(AND($E67="Active",$F67="Green"),"Yes","No"))</f>
        <v/>
      </c>
      <c r="P67" s="11" t="n"/>
      <c r="Q67">
        <f>IF($I67="","",ROUND(TODAY()-$I67,0))</f>
        <v/>
      </c>
      <c r="R67">
        <f>IF($B67="",0,IF(OR(AND(ISNUMBER($J67),$J67&lt;=TODAY(),$E67&lt;&gt;"Dead Lead"),AND($D67="",$E67&lt;&gt;"",$E67&lt;&gt;"Dead Lead",OR($I67="",$I67&lt;TODAY()))),1,0))</f>
        <v/>
      </c>
      <c r="S67">
        <f>IF($R67=1,SUMPRODUCT(($R$4:$R$203=1)*(($Q$4:$Q$203&gt;$Q67)+(($Q$4:$Q$203=$Q67)*(ROW($Q$4:$Q$203)&lt;ROW($Q67)))))+1,"")</f>
        <v/>
      </c>
      <c r="T67" s="11">
        <f>IF($B67="","",0)</f>
        <v/>
      </c>
      <c r="U67">
        <f>IF($B67="",0,IF($E67="Dead Lead",1,0))</f>
        <v/>
      </c>
      <c r="V67">
        <f>IF($U67=1,SUMPRODUCT(($U$4:$U$203=1)*(($J$4:$J$203&lt;$J67)+(($J$4:$J$203=$J67)*(ROW($J$4:$J$203)&lt;ROW($J67)))))+1,"")</f>
        <v/>
      </c>
      <c r="W67" s="12">
        <f>IF($B67="","","")</f>
        <v/>
      </c>
      <c r="X67" s="11">
        <f>IF($B67="","",0)</f>
        <v/>
      </c>
      <c r="Y67">
        <f>IF($B67="",0,IF(AND($R67=0,$E67&lt;&gt;"Dead Lead",ISNUMBER($J67),$J67&lt;=TODAY()+7),1,0))</f>
        <v/>
      </c>
      <c r="Z67">
        <f>IF($Y67=1,SUMPRODUCT(($Y$4:$Y$203=1)*(($J$4:$J$203&lt;$J67)+(($J$4:$J$203=$J67)*(ROW($J$4:$J$203)&lt;ROW($J67)))))+1,"")</f>
        <v/>
      </c>
      <c r="AA67" s="12">
        <f>IF($B67="","","")</f>
        <v/>
      </c>
      <c r="AB67" s="11">
        <f>IF($B67="","",0)</f>
        <v/>
      </c>
      <c r="AC67" s="11" t="n"/>
      <c r="AD67">
        <f>IF($E67="","",IF($E67="VIP Transferred",IF($AA67="","",IF(N($AB67)&gt;=3,"N/A - Closed",$AA67+CHOOSE(N($AB67)+1,1,2,3))),IF($I67="","",IF(VLOOKUP($E67,Lists!$C$2:$E$20,3,FALSE)="CLOSED","N/A - Closed",$I67+VLOOKUP($E67,Lists!$C$2:$E$20,3,FALSE)))))</f>
        <v/>
      </c>
      <c r="AE67">
        <f>IF(AND($AC67="Yes",$W67&lt;&gt;"",N($X67)&lt;3),$W67+CHOOSE(N($X67)+1,1,7,14),"")</f>
        <v/>
      </c>
      <c r="AF67" s="12">
        <f>IF($B67="","","")</f>
        <v/>
      </c>
    </row>
    <row r="68">
      <c r="A68" s="11">
        <f>IF($B68="","","YU-"&amp;TEXT(ROW()-3,"0000"))</f>
        <v/>
      </c>
      <c r="B68" s="11" t="n"/>
      <c r="C68" s="11" t="inlineStr">
        <is>
          <t>Discord</t>
        </is>
      </c>
      <c r="D68" s="11" t="n"/>
      <c r="E68" s="11" t="n"/>
      <c r="F68" s="11">
        <f>IF($E68="","",IF($E68="Dead Lead","Black",IF(IF(ISNUMBER($J68),TODAY()-$J68&gt;3,FALSE),"Red",IF($E68="Reactivation Queue","Red",IF(OR($E68="First Deposit",$E68="Active"),"Green","Yellow")))))</f>
        <v/>
      </c>
      <c r="G68" s="11">
        <f>IF($F68="","",IF($F68="Red",1,IF($F68="Yellow",2,IF($F68="Green",3,4))))</f>
        <v/>
      </c>
      <c r="H68" s="14" t="n"/>
      <c r="I68" s="14" t="n"/>
      <c r="J68" s="12">
        <f>IF($E68="","",IF(AND(ISNUMBER($AD68),ISNUMBER($AE68)),MIN($AD68,$AE68),IF(ISNUMBER($AE68),$AE68,$AD68)))</f>
        <v/>
      </c>
      <c r="K68" s="11">
        <f>IF($E68="","",IF($E68="VIP Transferred",IF(N($AB68)&gt;=3,"Should be Dead Lead (3 attempts, still no deposit) - will auto-update","Day "&amp;CHOOSE(N($AB68)+1,1,2,3)&amp;" URGENT VIP check-in - help them finish KYC and lock in first deposit"),IF(AND($D68="",$E68&lt;&gt;"Dead Lead"),IF(N($T68)&gt;=3,"READY FOR DEAD LEAD (3 attempts, still no sign-up)","GET ROOBET SIGN-UP - "&amp;IFERROR(VLOOKUP($E68,Lists!$C$2:$E$20,2,FALSE),"")),IFERROR(VLOOKUP($E68,Lists!$C$2:$E$20,2,FALSE),""))))&amp;IF($AC68="Yes",IF(N($X68)&gt;=3," | VIP Team checkpoints complete - no more automatic check-ins"," | Day "&amp;CHOOSE(N($X68)+1,1,7,14)&amp;" VIP Team check-in - confirm active/depositing"),"")</f>
        <v/>
      </c>
      <c r="L68" s="11" t="n"/>
      <c r="M68" s="11" t="n"/>
      <c r="N68" s="15" t="n"/>
      <c r="O68" s="11">
        <f>IF($E68="","",IF(AND($E68="Active",$F68="Green"),"Yes","No"))</f>
        <v/>
      </c>
      <c r="P68" s="11" t="n"/>
      <c r="Q68">
        <f>IF($I68="","",ROUND(TODAY()-$I68,0))</f>
        <v/>
      </c>
      <c r="R68">
        <f>IF($B68="",0,IF(OR(AND(ISNUMBER($J68),$J68&lt;=TODAY(),$E68&lt;&gt;"Dead Lead"),AND($D68="",$E68&lt;&gt;"",$E68&lt;&gt;"Dead Lead",OR($I68="",$I68&lt;TODAY()))),1,0))</f>
        <v/>
      </c>
      <c r="S68">
        <f>IF($R68=1,SUMPRODUCT(($R$4:$R$203=1)*(($Q$4:$Q$203&gt;$Q68)+(($Q$4:$Q$203=$Q68)*(ROW($Q$4:$Q$203)&lt;ROW($Q68)))))+1,"")</f>
        <v/>
      </c>
      <c r="T68" s="11">
        <f>IF($B68="","",0)</f>
        <v/>
      </c>
      <c r="U68">
        <f>IF($B68="",0,IF($E68="Dead Lead",1,0))</f>
        <v/>
      </c>
      <c r="V68">
        <f>IF($U68=1,SUMPRODUCT(($U$4:$U$203=1)*(($J$4:$J$203&lt;$J68)+(($J$4:$J$203=$J68)*(ROW($J$4:$J$203)&lt;ROW($J68)))))+1,"")</f>
        <v/>
      </c>
      <c r="W68" s="12">
        <f>IF($B68="","","")</f>
        <v/>
      </c>
      <c r="X68" s="11">
        <f>IF($B68="","",0)</f>
        <v/>
      </c>
      <c r="Y68">
        <f>IF($B68="",0,IF(AND($R68=0,$E68&lt;&gt;"Dead Lead",ISNUMBER($J68),$J68&lt;=TODAY()+7),1,0))</f>
        <v/>
      </c>
      <c r="Z68">
        <f>IF($Y68=1,SUMPRODUCT(($Y$4:$Y$203=1)*(($J$4:$J$203&lt;$J68)+(($J$4:$J$203=$J68)*(ROW($J$4:$J$203)&lt;ROW($J68)))))+1,"")</f>
        <v/>
      </c>
      <c r="AA68" s="12">
        <f>IF($B68="","","")</f>
        <v/>
      </c>
      <c r="AB68" s="11">
        <f>IF($B68="","",0)</f>
        <v/>
      </c>
      <c r="AC68" s="11" t="n"/>
      <c r="AD68">
        <f>IF($E68="","",IF($E68="VIP Transferred",IF($AA68="","",IF(N($AB68)&gt;=3,"N/A - Closed",$AA68+CHOOSE(N($AB68)+1,1,2,3))),IF($I68="","",IF(VLOOKUP($E68,Lists!$C$2:$E$20,3,FALSE)="CLOSED","N/A - Closed",$I68+VLOOKUP($E68,Lists!$C$2:$E$20,3,FALSE)))))</f>
        <v/>
      </c>
      <c r="AE68">
        <f>IF(AND($AC68="Yes",$W68&lt;&gt;"",N($X68)&lt;3),$W68+CHOOSE(N($X68)+1,1,7,14),"")</f>
        <v/>
      </c>
      <c r="AF68" s="12">
        <f>IF($B68="","","")</f>
        <v/>
      </c>
    </row>
    <row r="69">
      <c r="A69" s="11">
        <f>IF($B69="","","YU-"&amp;TEXT(ROW()-3,"0000"))</f>
        <v/>
      </c>
      <c r="B69" s="11" t="n"/>
      <c r="C69" s="11" t="inlineStr">
        <is>
          <t>Discord</t>
        </is>
      </c>
      <c r="D69" s="11" t="n"/>
      <c r="E69" s="11" t="n"/>
      <c r="F69" s="11">
        <f>IF($E69="","",IF($E69="Dead Lead","Black",IF(IF(ISNUMBER($J69),TODAY()-$J69&gt;3,FALSE),"Red",IF($E69="Reactivation Queue","Red",IF(OR($E69="First Deposit",$E69="Active"),"Green","Yellow")))))</f>
        <v/>
      </c>
      <c r="G69" s="11">
        <f>IF($F69="","",IF($F69="Red",1,IF($F69="Yellow",2,IF($F69="Green",3,4))))</f>
        <v/>
      </c>
      <c r="H69" s="14" t="n"/>
      <c r="I69" s="14" t="n"/>
      <c r="J69" s="12">
        <f>IF($E69="","",IF(AND(ISNUMBER($AD69),ISNUMBER($AE69)),MIN($AD69,$AE69),IF(ISNUMBER($AE69),$AE69,$AD69)))</f>
        <v/>
      </c>
      <c r="K69" s="11">
        <f>IF($E69="","",IF($E69="VIP Transferred",IF(N($AB69)&gt;=3,"Should be Dead Lead (3 attempts, still no deposit) - will auto-update","Day "&amp;CHOOSE(N($AB69)+1,1,2,3)&amp;" URGENT VIP check-in - help them finish KYC and lock in first deposit"),IF(AND($D69="",$E69&lt;&gt;"Dead Lead"),IF(N($T69)&gt;=3,"READY FOR DEAD LEAD (3 attempts, still no sign-up)","GET ROOBET SIGN-UP - "&amp;IFERROR(VLOOKUP($E69,Lists!$C$2:$E$20,2,FALSE),"")),IFERROR(VLOOKUP($E69,Lists!$C$2:$E$20,2,FALSE),""))))&amp;IF($AC69="Yes",IF(N($X69)&gt;=3," | VIP Team checkpoints complete - no more automatic check-ins"," | Day "&amp;CHOOSE(N($X69)+1,1,7,14)&amp;" VIP Team check-in - confirm active/depositing"),"")</f>
        <v/>
      </c>
      <c r="L69" s="11" t="n"/>
      <c r="M69" s="11" t="n"/>
      <c r="N69" s="15" t="n"/>
      <c r="O69" s="11">
        <f>IF($E69="","",IF(AND($E69="Active",$F69="Green"),"Yes","No"))</f>
        <v/>
      </c>
      <c r="P69" s="11" t="n"/>
      <c r="Q69">
        <f>IF($I69="","",ROUND(TODAY()-$I69,0))</f>
        <v/>
      </c>
      <c r="R69">
        <f>IF($B69="",0,IF(OR(AND(ISNUMBER($J69),$J69&lt;=TODAY(),$E69&lt;&gt;"Dead Lead"),AND($D69="",$E69&lt;&gt;"",$E69&lt;&gt;"Dead Lead",OR($I69="",$I69&lt;TODAY()))),1,0))</f>
        <v/>
      </c>
      <c r="S69">
        <f>IF($R69=1,SUMPRODUCT(($R$4:$R$203=1)*(($Q$4:$Q$203&gt;$Q69)+(($Q$4:$Q$203=$Q69)*(ROW($Q$4:$Q$203)&lt;ROW($Q69)))))+1,"")</f>
        <v/>
      </c>
      <c r="T69" s="11">
        <f>IF($B69="","",0)</f>
        <v/>
      </c>
      <c r="U69">
        <f>IF($B69="",0,IF($E69="Dead Lead",1,0))</f>
        <v/>
      </c>
      <c r="V69">
        <f>IF($U69=1,SUMPRODUCT(($U$4:$U$203=1)*(($J$4:$J$203&lt;$J69)+(($J$4:$J$203=$J69)*(ROW($J$4:$J$203)&lt;ROW($J69)))))+1,"")</f>
        <v/>
      </c>
      <c r="W69" s="12">
        <f>IF($B69="","","")</f>
        <v/>
      </c>
      <c r="X69" s="11">
        <f>IF($B69="","",0)</f>
        <v/>
      </c>
      <c r="Y69">
        <f>IF($B69="",0,IF(AND($R69=0,$E69&lt;&gt;"Dead Lead",ISNUMBER($J69),$J69&lt;=TODAY()+7),1,0))</f>
        <v/>
      </c>
      <c r="Z69">
        <f>IF($Y69=1,SUMPRODUCT(($Y$4:$Y$203=1)*(($J$4:$J$203&lt;$J69)+(($J$4:$J$203=$J69)*(ROW($J$4:$J$203)&lt;ROW($J69)))))+1,"")</f>
        <v/>
      </c>
      <c r="AA69" s="12">
        <f>IF($B69="","","")</f>
        <v/>
      </c>
      <c r="AB69" s="11">
        <f>IF($B69="","",0)</f>
        <v/>
      </c>
      <c r="AC69" s="11" t="n"/>
      <c r="AD69">
        <f>IF($E69="","",IF($E69="VIP Transferred",IF($AA69="","",IF(N($AB69)&gt;=3,"N/A - Closed",$AA69+CHOOSE(N($AB69)+1,1,2,3))),IF($I69="","",IF(VLOOKUP($E69,Lists!$C$2:$E$20,3,FALSE)="CLOSED","N/A - Closed",$I69+VLOOKUP($E69,Lists!$C$2:$E$20,3,FALSE)))))</f>
        <v/>
      </c>
      <c r="AE69">
        <f>IF(AND($AC69="Yes",$W69&lt;&gt;"",N($X69)&lt;3),$W69+CHOOSE(N($X69)+1,1,7,14),"")</f>
        <v/>
      </c>
      <c r="AF69" s="12">
        <f>IF($B69="","","")</f>
        <v/>
      </c>
    </row>
    <row r="70">
      <c r="A70" s="11">
        <f>IF($B70="","","YU-"&amp;TEXT(ROW()-3,"0000"))</f>
        <v/>
      </c>
      <c r="B70" s="11" t="n"/>
      <c r="C70" s="11" t="inlineStr">
        <is>
          <t>Discord</t>
        </is>
      </c>
      <c r="D70" s="11" t="n"/>
      <c r="E70" s="11" t="n"/>
      <c r="F70" s="11">
        <f>IF($E70="","",IF($E70="Dead Lead","Black",IF(IF(ISNUMBER($J70),TODAY()-$J70&gt;3,FALSE),"Red",IF($E70="Reactivation Queue","Red",IF(OR($E70="First Deposit",$E70="Active"),"Green","Yellow")))))</f>
        <v/>
      </c>
      <c r="G70" s="11">
        <f>IF($F70="","",IF($F70="Red",1,IF($F70="Yellow",2,IF($F70="Green",3,4))))</f>
        <v/>
      </c>
      <c r="H70" s="14" t="n"/>
      <c r="I70" s="14" t="n"/>
      <c r="J70" s="12">
        <f>IF($E70="","",IF(AND(ISNUMBER($AD70),ISNUMBER($AE70)),MIN($AD70,$AE70),IF(ISNUMBER($AE70),$AE70,$AD70)))</f>
        <v/>
      </c>
      <c r="K70" s="11">
        <f>IF($E70="","",IF($E70="VIP Transferred",IF(N($AB70)&gt;=3,"Should be Dead Lead (3 attempts, still no deposit) - will auto-update","Day "&amp;CHOOSE(N($AB70)+1,1,2,3)&amp;" URGENT VIP check-in - help them finish KYC and lock in first deposit"),IF(AND($D70="",$E70&lt;&gt;"Dead Lead"),IF(N($T70)&gt;=3,"READY FOR DEAD LEAD (3 attempts, still no sign-up)","GET ROOBET SIGN-UP - "&amp;IFERROR(VLOOKUP($E70,Lists!$C$2:$E$20,2,FALSE),"")),IFERROR(VLOOKUP($E70,Lists!$C$2:$E$20,2,FALSE),""))))&amp;IF($AC70="Yes",IF(N($X70)&gt;=3," | VIP Team checkpoints complete - no more automatic check-ins"," | Day "&amp;CHOOSE(N($X70)+1,1,7,14)&amp;" VIP Team check-in - confirm active/depositing"),"")</f>
        <v/>
      </c>
      <c r="L70" s="11" t="n"/>
      <c r="M70" s="11" t="n"/>
      <c r="N70" s="15" t="n"/>
      <c r="O70" s="11">
        <f>IF($E70="","",IF(AND($E70="Active",$F70="Green"),"Yes","No"))</f>
        <v/>
      </c>
      <c r="P70" s="11" t="n"/>
      <c r="Q70">
        <f>IF($I70="","",ROUND(TODAY()-$I70,0))</f>
        <v/>
      </c>
      <c r="R70">
        <f>IF($B70="",0,IF(OR(AND(ISNUMBER($J70),$J70&lt;=TODAY(),$E70&lt;&gt;"Dead Lead"),AND($D70="",$E70&lt;&gt;"",$E70&lt;&gt;"Dead Lead",OR($I70="",$I70&lt;TODAY()))),1,0))</f>
        <v/>
      </c>
      <c r="S70">
        <f>IF($R70=1,SUMPRODUCT(($R$4:$R$203=1)*(($Q$4:$Q$203&gt;$Q70)+(($Q$4:$Q$203=$Q70)*(ROW($Q$4:$Q$203)&lt;ROW($Q70)))))+1,"")</f>
        <v/>
      </c>
      <c r="T70" s="11">
        <f>IF($B70="","",0)</f>
        <v/>
      </c>
      <c r="U70">
        <f>IF($B70="",0,IF($E70="Dead Lead",1,0))</f>
        <v/>
      </c>
      <c r="V70">
        <f>IF($U70=1,SUMPRODUCT(($U$4:$U$203=1)*(($J$4:$J$203&lt;$J70)+(($J$4:$J$203=$J70)*(ROW($J$4:$J$203)&lt;ROW($J70)))))+1,"")</f>
        <v/>
      </c>
      <c r="W70" s="12">
        <f>IF($B70="","","")</f>
        <v/>
      </c>
      <c r="X70" s="11">
        <f>IF($B70="","",0)</f>
        <v/>
      </c>
      <c r="Y70">
        <f>IF($B70="",0,IF(AND($R70=0,$E70&lt;&gt;"Dead Lead",ISNUMBER($J70),$J70&lt;=TODAY()+7),1,0))</f>
        <v/>
      </c>
      <c r="Z70">
        <f>IF($Y70=1,SUMPRODUCT(($Y$4:$Y$203=1)*(($J$4:$J$203&lt;$J70)+(($J$4:$J$203=$J70)*(ROW($J$4:$J$203)&lt;ROW($J70)))))+1,"")</f>
        <v/>
      </c>
      <c r="AA70" s="12">
        <f>IF($B70="","","")</f>
        <v/>
      </c>
      <c r="AB70" s="11">
        <f>IF($B70="","",0)</f>
        <v/>
      </c>
      <c r="AC70" s="11" t="n"/>
      <c r="AD70">
        <f>IF($E70="","",IF($E70="VIP Transferred",IF($AA70="","",IF(N($AB70)&gt;=3,"N/A - Closed",$AA70+CHOOSE(N($AB70)+1,1,2,3))),IF($I70="","",IF(VLOOKUP($E70,Lists!$C$2:$E$20,3,FALSE)="CLOSED","N/A - Closed",$I70+VLOOKUP($E70,Lists!$C$2:$E$20,3,FALSE)))))</f>
        <v/>
      </c>
      <c r="AE70">
        <f>IF(AND($AC70="Yes",$W70&lt;&gt;"",N($X70)&lt;3),$W70+CHOOSE(N($X70)+1,1,7,14),"")</f>
        <v/>
      </c>
      <c r="AF70" s="12">
        <f>IF($B70="","","")</f>
        <v/>
      </c>
    </row>
    <row r="71">
      <c r="A71" s="11">
        <f>IF($B71="","","YU-"&amp;TEXT(ROW()-3,"0000"))</f>
        <v/>
      </c>
      <c r="B71" s="11" t="n"/>
      <c r="C71" s="11" t="inlineStr">
        <is>
          <t>Discord</t>
        </is>
      </c>
      <c r="D71" s="11" t="n"/>
      <c r="E71" s="11" t="n"/>
      <c r="F71" s="11">
        <f>IF($E71="","",IF($E71="Dead Lead","Black",IF(IF(ISNUMBER($J71),TODAY()-$J71&gt;3,FALSE),"Red",IF($E71="Reactivation Queue","Red",IF(OR($E71="First Deposit",$E71="Active"),"Green","Yellow")))))</f>
        <v/>
      </c>
      <c r="G71" s="11">
        <f>IF($F71="","",IF($F71="Red",1,IF($F71="Yellow",2,IF($F71="Green",3,4))))</f>
        <v/>
      </c>
      <c r="H71" s="14" t="n"/>
      <c r="I71" s="14" t="n"/>
      <c r="J71" s="12">
        <f>IF($E71="","",IF(AND(ISNUMBER($AD71),ISNUMBER($AE71)),MIN($AD71,$AE71),IF(ISNUMBER($AE71),$AE71,$AD71)))</f>
        <v/>
      </c>
      <c r="K71" s="11">
        <f>IF($E71="","",IF($E71="VIP Transferred",IF(N($AB71)&gt;=3,"Should be Dead Lead (3 attempts, still no deposit) - will auto-update","Day "&amp;CHOOSE(N($AB71)+1,1,2,3)&amp;" URGENT VIP check-in - help them finish KYC and lock in first deposit"),IF(AND($D71="",$E71&lt;&gt;"Dead Lead"),IF(N($T71)&gt;=3,"READY FOR DEAD LEAD (3 attempts, still no sign-up)","GET ROOBET SIGN-UP - "&amp;IFERROR(VLOOKUP($E71,Lists!$C$2:$E$20,2,FALSE),"")),IFERROR(VLOOKUP($E71,Lists!$C$2:$E$20,2,FALSE),""))))&amp;IF($AC71="Yes",IF(N($X71)&gt;=3," | VIP Team checkpoints complete - no more automatic check-ins"," | Day "&amp;CHOOSE(N($X71)+1,1,7,14)&amp;" VIP Team check-in - confirm active/depositing"),"")</f>
        <v/>
      </c>
      <c r="L71" s="11" t="n"/>
      <c r="M71" s="11" t="n"/>
      <c r="N71" s="15" t="n"/>
      <c r="O71" s="11">
        <f>IF($E71="","",IF(AND($E71="Active",$F71="Green"),"Yes","No"))</f>
        <v/>
      </c>
      <c r="P71" s="11" t="n"/>
      <c r="Q71">
        <f>IF($I71="","",ROUND(TODAY()-$I71,0))</f>
        <v/>
      </c>
      <c r="R71">
        <f>IF($B71="",0,IF(OR(AND(ISNUMBER($J71),$J71&lt;=TODAY(),$E71&lt;&gt;"Dead Lead"),AND($D71="",$E71&lt;&gt;"",$E71&lt;&gt;"Dead Lead",OR($I71="",$I71&lt;TODAY()))),1,0))</f>
        <v/>
      </c>
      <c r="S71">
        <f>IF($R71=1,SUMPRODUCT(($R$4:$R$203=1)*(($Q$4:$Q$203&gt;$Q71)+(($Q$4:$Q$203=$Q71)*(ROW($Q$4:$Q$203)&lt;ROW($Q71)))))+1,"")</f>
        <v/>
      </c>
      <c r="T71" s="11">
        <f>IF($B71="","",0)</f>
        <v/>
      </c>
      <c r="U71">
        <f>IF($B71="",0,IF($E71="Dead Lead",1,0))</f>
        <v/>
      </c>
      <c r="V71">
        <f>IF($U71=1,SUMPRODUCT(($U$4:$U$203=1)*(($J$4:$J$203&lt;$J71)+(($J$4:$J$203=$J71)*(ROW($J$4:$J$203)&lt;ROW($J71)))))+1,"")</f>
        <v/>
      </c>
      <c r="W71" s="12">
        <f>IF($B71="","","")</f>
        <v/>
      </c>
      <c r="X71" s="11">
        <f>IF($B71="","",0)</f>
        <v/>
      </c>
      <c r="Y71">
        <f>IF($B71="",0,IF(AND($R71=0,$E71&lt;&gt;"Dead Lead",ISNUMBER($J71),$J71&lt;=TODAY()+7),1,0))</f>
        <v/>
      </c>
      <c r="Z71">
        <f>IF($Y71=1,SUMPRODUCT(($Y$4:$Y$203=1)*(($J$4:$J$203&lt;$J71)+(($J$4:$J$203=$J71)*(ROW($J$4:$J$203)&lt;ROW($J71)))))+1,"")</f>
        <v/>
      </c>
      <c r="AA71" s="12">
        <f>IF($B71="","","")</f>
        <v/>
      </c>
      <c r="AB71" s="11">
        <f>IF($B71="","",0)</f>
        <v/>
      </c>
      <c r="AC71" s="11" t="n"/>
      <c r="AD71">
        <f>IF($E71="","",IF($E71="VIP Transferred",IF($AA71="","",IF(N($AB71)&gt;=3,"N/A - Closed",$AA71+CHOOSE(N($AB71)+1,1,2,3))),IF($I71="","",IF(VLOOKUP($E71,Lists!$C$2:$E$20,3,FALSE)="CLOSED","N/A - Closed",$I71+VLOOKUP($E71,Lists!$C$2:$E$20,3,FALSE)))))</f>
        <v/>
      </c>
      <c r="AE71">
        <f>IF(AND($AC71="Yes",$W71&lt;&gt;"",N($X71)&lt;3),$W71+CHOOSE(N($X71)+1,1,7,14),"")</f>
        <v/>
      </c>
      <c r="AF71" s="12">
        <f>IF($B71="","","")</f>
        <v/>
      </c>
    </row>
    <row r="72">
      <c r="A72" s="11">
        <f>IF($B72="","","YU-"&amp;TEXT(ROW()-3,"0000"))</f>
        <v/>
      </c>
      <c r="B72" s="11" t="n"/>
      <c r="C72" s="11" t="inlineStr">
        <is>
          <t>Discord</t>
        </is>
      </c>
      <c r="D72" s="11" t="n"/>
      <c r="E72" s="11" t="n"/>
      <c r="F72" s="11">
        <f>IF($E72="","",IF($E72="Dead Lead","Black",IF(IF(ISNUMBER($J72),TODAY()-$J72&gt;3,FALSE),"Red",IF($E72="Reactivation Queue","Red",IF(OR($E72="First Deposit",$E72="Active"),"Green","Yellow")))))</f>
        <v/>
      </c>
      <c r="G72" s="11">
        <f>IF($F72="","",IF($F72="Red",1,IF($F72="Yellow",2,IF($F72="Green",3,4))))</f>
        <v/>
      </c>
      <c r="H72" s="14" t="n"/>
      <c r="I72" s="14" t="n"/>
      <c r="J72" s="12">
        <f>IF($E72="","",IF(AND(ISNUMBER($AD72),ISNUMBER($AE72)),MIN($AD72,$AE72),IF(ISNUMBER($AE72),$AE72,$AD72)))</f>
        <v/>
      </c>
      <c r="K72" s="11">
        <f>IF($E72="","",IF($E72="VIP Transferred",IF(N($AB72)&gt;=3,"Should be Dead Lead (3 attempts, still no deposit) - will auto-update","Day "&amp;CHOOSE(N($AB72)+1,1,2,3)&amp;" URGENT VIP check-in - help them finish KYC and lock in first deposit"),IF(AND($D72="",$E72&lt;&gt;"Dead Lead"),IF(N($T72)&gt;=3,"READY FOR DEAD LEAD (3 attempts, still no sign-up)","GET ROOBET SIGN-UP - "&amp;IFERROR(VLOOKUP($E72,Lists!$C$2:$E$20,2,FALSE),"")),IFERROR(VLOOKUP($E72,Lists!$C$2:$E$20,2,FALSE),""))))&amp;IF($AC72="Yes",IF(N($X72)&gt;=3," | VIP Team checkpoints complete - no more automatic check-ins"," | Day "&amp;CHOOSE(N($X72)+1,1,7,14)&amp;" VIP Team check-in - confirm active/depositing"),"")</f>
        <v/>
      </c>
      <c r="L72" s="11" t="n"/>
      <c r="M72" s="11" t="n"/>
      <c r="N72" s="15" t="n"/>
      <c r="O72" s="11">
        <f>IF($E72="","",IF(AND($E72="Active",$F72="Green"),"Yes","No"))</f>
        <v/>
      </c>
      <c r="P72" s="11" t="n"/>
      <c r="Q72">
        <f>IF($I72="","",ROUND(TODAY()-$I72,0))</f>
        <v/>
      </c>
      <c r="R72">
        <f>IF($B72="",0,IF(OR(AND(ISNUMBER($J72),$J72&lt;=TODAY(),$E72&lt;&gt;"Dead Lead"),AND($D72="",$E72&lt;&gt;"",$E72&lt;&gt;"Dead Lead",OR($I72="",$I72&lt;TODAY()))),1,0))</f>
        <v/>
      </c>
      <c r="S72">
        <f>IF($R72=1,SUMPRODUCT(($R$4:$R$203=1)*(($Q$4:$Q$203&gt;$Q72)+(($Q$4:$Q$203=$Q72)*(ROW($Q$4:$Q$203)&lt;ROW($Q72)))))+1,"")</f>
        <v/>
      </c>
      <c r="T72" s="11">
        <f>IF($B72="","",0)</f>
        <v/>
      </c>
      <c r="U72">
        <f>IF($B72="",0,IF($E72="Dead Lead",1,0))</f>
        <v/>
      </c>
      <c r="V72">
        <f>IF($U72=1,SUMPRODUCT(($U$4:$U$203=1)*(($J$4:$J$203&lt;$J72)+(($J$4:$J$203=$J72)*(ROW($J$4:$J$203)&lt;ROW($J72)))))+1,"")</f>
        <v/>
      </c>
      <c r="W72" s="12">
        <f>IF($B72="","","")</f>
        <v/>
      </c>
      <c r="X72" s="11">
        <f>IF($B72="","",0)</f>
        <v/>
      </c>
      <c r="Y72">
        <f>IF($B72="",0,IF(AND($R72=0,$E72&lt;&gt;"Dead Lead",ISNUMBER($J72),$J72&lt;=TODAY()+7),1,0))</f>
        <v/>
      </c>
      <c r="Z72">
        <f>IF($Y72=1,SUMPRODUCT(($Y$4:$Y$203=1)*(($J$4:$J$203&lt;$J72)+(($J$4:$J$203=$J72)*(ROW($J$4:$J$203)&lt;ROW($J72)))))+1,"")</f>
        <v/>
      </c>
      <c r="AA72" s="12">
        <f>IF($B72="","","")</f>
        <v/>
      </c>
      <c r="AB72" s="11">
        <f>IF($B72="","",0)</f>
        <v/>
      </c>
      <c r="AC72" s="11" t="n"/>
      <c r="AD72">
        <f>IF($E72="","",IF($E72="VIP Transferred",IF($AA72="","",IF(N($AB72)&gt;=3,"N/A - Closed",$AA72+CHOOSE(N($AB72)+1,1,2,3))),IF($I72="","",IF(VLOOKUP($E72,Lists!$C$2:$E$20,3,FALSE)="CLOSED","N/A - Closed",$I72+VLOOKUP($E72,Lists!$C$2:$E$20,3,FALSE)))))</f>
        <v/>
      </c>
      <c r="AE72">
        <f>IF(AND($AC72="Yes",$W72&lt;&gt;"",N($X72)&lt;3),$W72+CHOOSE(N($X72)+1,1,7,14),"")</f>
        <v/>
      </c>
      <c r="AF72" s="12">
        <f>IF($B72="","","")</f>
        <v/>
      </c>
    </row>
    <row r="73">
      <c r="A73" s="11">
        <f>IF($B73="","","YU-"&amp;TEXT(ROW()-3,"0000"))</f>
        <v/>
      </c>
      <c r="B73" s="11" t="n"/>
      <c r="C73" s="11" t="inlineStr">
        <is>
          <t>Discord</t>
        </is>
      </c>
      <c r="D73" s="11" t="n"/>
      <c r="E73" s="11" t="n"/>
      <c r="F73" s="11">
        <f>IF($E73="","",IF($E73="Dead Lead","Black",IF(IF(ISNUMBER($J73),TODAY()-$J73&gt;3,FALSE),"Red",IF($E73="Reactivation Queue","Red",IF(OR($E73="First Deposit",$E73="Active"),"Green","Yellow")))))</f>
        <v/>
      </c>
      <c r="G73" s="11">
        <f>IF($F73="","",IF($F73="Red",1,IF($F73="Yellow",2,IF($F73="Green",3,4))))</f>
        <v/>
      </c>
      <c r="H73" s="14" t="n"/>
      <c r="I73" s="14" t="n"/>
      <c r="J73" s="12">
        <f>IF($E73="","",IF(AND(ISNUMBER($AD73),ISNUMBER($AE73)),MIN($AD73,$AE73),IF(ISNUMBER($AE73),$AE73,$AD73)))</f>
        <v/>
      </c>
      <c r="K73" s="11">
        <f>IF($E73="","",IF($E73="VIP Transferred",IF(N($AB73)&gt;=3,"Should be Dead Lead (3 attempts, still no deposit) - will auto-update","Day "&amp;CHOOSE(N($AB73)+1,1,2,3)&amp;" URGENT VIP check-in - help them finish KYC and lock in first deposit"),IF(AND($D73="",$E73&lt;&gt;"Dead Lead"),IF(N($T73)&gt;=3,"READY FOR DEAD LEAD (3 attempts, still no sign-up)","GET ROOBET SIGN-UP - "&amp;IFERROR(VLOOKUP($E73,Lists!$C$2:$E$20,2,FALSE),"")),IFERROR(VLOOKUP($E73,Lists!$C$2:$E$20,2,FALSE),""))))&amp;IF($AC73="Yes",IF(N($X73)&gt;=3," | VIP Team checkpoints complete - no more automatic check-ins"," | Day "&amp;CHOOSE(N($X73)+1,1,7,14)&amp;" VIP Team check-in - confirm active/depositing"),"")</f>
        <v/>
      </c>
      <c r="L73" s="11" t="n"/>
      <c r="M73" s="11" t="n"/>
      <c r="N73" s="15" t="n"/>
      <c r="O73" s="11">
        <f>IF($E73="","",IF(AND($E73="Active",$F73="Green"),"Yes","No"))</f>
        <v/>
      </c>
      <c r="P73" s="11" t="n"/>
      <c r="Q73">
        <f>IF($I73="","",ROUND(TODAY()-$I73,0))</f>
        <v/>
      </c>
      <c r="R73">
        <f>IF($B73="",0,IF(OR(AND(ISNUMBER($J73),$J73&lt;=TODAY(),$E73&lt;&gt;"Dead Lead"),AND($D73="",$E73&lt;&gt;"",$E73&lt;&gt;"Dead Lead",OR($I73="",$I73&lt;TODAY()))),1,0))</f>
        <v/>
      </c>
      <c r="S73">
        <f>IF($R73=1,SUMPRODUCT(($R$4:$R$203=1)*(($Q$4:$Q$203&gt;$Q73)+(($Q$4:$Q$203=$Q73)*(ROW($Q$4:$Q$203)&lt;ROW($Q73)))))+1,"")</f>
        <v/>
      </c>
      <c r="T73" s="11">
        <f>IF($B73="","",0)</f>
        <v/>
      </c>
      <c r="U73">
        <f>IF($B73="",0,IF($E73="Dead Lead",1,0))</f>
        <v/>
      </c>
      <c r="V73">
        <f>IF($U73=1,SUMPRODUCT(($U$4:$U$203=1)*(($J$4:$J$203&lt;$J73)+(($J$4:$J$203=$J73)*(ROW($J$4:$J$203)&lt;ROW($J73)))))+1,"")</f>
        <v/>
      </c>
      <c r="W73" s="12">
        <f>IF($B73="","","")</f>
        <v/>
      </c>
      <c r="X73" s="11">
        <f>IF($B73="","",0)</f>
        <v/>
      </c>
      <c r="Y73">
        <f>IF($B73="",0,IF(AND($R73=0,$E73&lt;&gt;"Dead Lead",ISNUMBER($J73),$J73&lt;=TODAY()+7),1,0))</f>
        <v/>
      </c>
      <c r="Z73">
        <f>IF($Y73=1,SUMPRODUCT(($Y$4:$Y$203=1)*(($J$4:$J$203&lt;$J73)+(($J$4:$J$203=$J73)*(ROW($J$4:$J$203)&lt;ROW($J73)))))+1,"")</f>
        <v/>
      </c>
      <c r="AA73" s="12">
        <f>IF($B73="","","")</f>
        <v/>
      </c>
      <c r="AB73" s="11">
        <f>IF($B73="","",0)</f>
        <v/>
      </c>
      <c r="AC73" s="11" t="n"/>
      <c r="AD73">
        <f>IF($E73="","",IF($E73="VIP Transferred",IF($AA73="","",IF(N($AB73)&gt;=3,"N/A - Closed",$AA73+CHOOSE(N($AB73)+1,1,2,3))),IF($I73="","",IF(VLOOKUP($E73,Lists!$C$2:$E$20,3,FALSE)="CLOSED","N/A - Closed",$I73+VLOOKUP($E73,Lists!$C$2:$E$20,3,FALSE)))))</f>
        <v/>
      </c>
      <c r="AE73">
        <f>IF(AND($AC73="Yes",$W73&lt;&gt;"",N($X73)&lt;3),$W73+CHOOSE(N($X73)+1,1,7,14),"")</f>
        <v/>
      </c>
      <c r="AF73" s="12">
        <f>IF($B73="","","")</f>
        <v/>
      </c>
    </row>
    <row r="74">
      <c r="A74" s="11">
        <f>IF($B74="","","YU-"&amp;TEXT(ROW()-3,"0000"))</f>
        <v/>
      </c>
      <c r="B74" s="11" t="n"/>
      <c r="C74" s="11" t="inlineStr">
        <is>
          <t>Discord</t>
        </is>
      </c>
      <c r="D74" s="11" t="n"/>
      <c r="E74" s="11" t="n"/>
      <c r="F74" s="11">
        <f>IF($E74="","",IF($E74="Dead Lead","Black",IF(IF(ISNUMBER($J74),TODAY()-$J74&gt;3,FALSE),"Red",IF($E74="Reactivation Queue","Red",IF(OR($E74="First Deposit",$E74="Active"),"Green","Yellow")))))</f>
        <v/>
      </c>
      <c r="G74" s="11">
        <f>IF($F74="","",IF($F74="Red",1,IF($F74="Yellow",2,IF($F74="Green",3,4))))</f>
        <v/>
      </c>
      <c r="H74" s="14" t="n"/>
      <c r="I74" s="14" t="n"/>
      <c r="J74" s="12">
        <f>IF($E74="","",IF(AND(ISNUMBER($AD74),ISNUMBER($AE74)),MIN($AD74,$AE74),IF(ISNUMBER($AE74),$AE74,$AD74)))</f>
        <v/>
      </c>
      <c r="K74" s="11">
        <f>IF($E74="","",IF($E74="VIP Transferred",IF(N($AB74)&gt;=3,"Should be Dead Lead (3 attempts, still no deposit) - will auto-update","Day "&amp;CHOOSE(N($AB74)+1,1,2,3)&amp;" URGENT VIP check-in - help them finish KYC and lock in first deposit"),IF(AND($D74="",$E74&lt;&gt;"Dead Lead"),IF(N($T74)&gt;=3,"READY FOR DEAD LEAD (3 attempts, still no sign-up)","GET ROOBET SIGN-UP - "&amp;IFERROR(VLOOKUP($E74,Lists!$C$2:$E$20,2,FALSE),"")),IFERROR(VLOOKUP($E74,Lists!$C$2:$E$20,2,FALSE),""))))&amp;IF($AC74="Yes",IF(N($X74)&gt;=3," | VIP Team checkpoints complete - no more automatic check-ins"," | Day "&amp;CHOOSE(N($X74)+1,1,7,14)&amp;" VIP Team check-in - confirm active/depositing"),"")</f>
        <v/>
      </c>
      <c r="L74" s="11" t="n"/>
      <c r="M74" s="11" t="n"/>
      <c r="N74" s="15" t="n"/>
      <c r="O74" s="11">
        <f>IF($E74="","",IF(AND($E74="Active",$F74="Green"),"Yes","No"))</f>
        <v/>
      </c>
      <c r="P74" s="11" t="n"/>
      <c r="Q74">
        <f>IF($I74="","",ROUND(TODAY()-$I74,0))</f>
        <v/>
      </c>
      <c r="R74">
        <f>IF($B74="",0,IF(OR(AND(ISNUMBER($J74),$J74&lt;=TODAY(),$E74&lt;&gt;"Dead Lead"),AND($D74="",$E74&lt;&gt;"",$E74&lt;&gt;"Dead Lead",OR($I74="",$I74&lt;TODAY()))),1,0))</f>
        <v/>
      </c>
      <c r="S74">
        <f>IF($R74=1,SUMPRODUCT(($R$4:$R$203=1)*(($Q$4:$Q$203&gt;$Q74)+(($Q$4:$Q$203=$Q74)*(ROW($Q$4:$Q$203)&lt;ROW($Q74)))))+1,"")</f>
        <v/>
      </c>
      <c r="T74" s="11">
        <f>IF($B74="","",0)</f>
        <v/>
      </c>
      <c r="U74">
        <f>IF($B74="",0,IF($E74="Dead Lead",1,0))</f>
        <v/>
      </c>
      <c r="V74">
        <f>IF($U74=1,SUMPRODUCT(($U$4:$U$203=1)*(($J$4:$J$203&lt;$J74)+(($J$4:$J$203=$J74)*(ROW($J$4:$J$203)&lt;ROW($J74)))))+1,"")</f>
        <v/>
      </c>
      <c r="W74" s="12">
        <f>IF($B74="","","")</f>
        <v/>
      </c>
      <c r="X74" s="11">
        <f>IF($B74="","",0)</f>
        <v/>
      </c>
      <c r="Y74">
        <f>IF($B74="",0,IF(AND($R74=0,$E74&lt;&gt;"Dead Lead",ISNUMBER($J74),$J74&lt;=TODAY()+7),1,0))</f>
        <v/>
      </c>
      <c r="Z74">
        <f>IF($Y74=1,SUMPRODUCT(($Y$4:$Y$203=1)*(($J$4:$J$203&lt;$J74)+(($J$4:$J$203=$J74)*(ROW($J$4:$J$203)&lt;ROW($J74)))))+1,"")</f>
        <v/>
      </c>
      <c r="AA74" s="12">
        <f>IF($B74="","","")</f>
        <v/>
      </c>
      <c r="AB74" s="11">
        <f>IF($B74="","",0)</f>
        <v/>
      </c>
      <c r="AC74" s="11" t="n"/>
      <c r="AD74">
        <f>IF($E74="","",IF($E74="VIP Transferred",IF($AA74="","",IF(N($AB74)&gt;=3,"N/A - Closed",$AA74+CHOOSE(N($AB74)+1,1,2,3))),IF($I74="","",IF(VLOOKUP($E74,Lists!$C$2:$E$20,3,FALSE)="CLOSED","N/A - Closed",$I74+VLOOKUP($E74,Lists!$C$2:$E$20,3,FALSE)))))</f>
        <v/>
      </c>
      <c r="AE74">
        <f>IF(AND($AC74="Yes",$W74&lt;&gt;"",N($X74)&lt;3),$W74+CHOOSE(N($X74)+1,1,7,14),"")</f>
        <v/>
      </c>
      <c r="AF74" s="12">
        <f>IF($B74="","","")</f>
        <v/>
      </c>
    </row>
    <row r="75">
      <c r="A75" s="11">
        <f>IF($B75="","","YU-"&amp;TEXT(ROW()-3,"0000"))</f>
        <v/>
      </c>
      <c r="B75" s="11" t="n"/>
      <c r="C75" s="11" t="inlineStr">
        <is>
          <t>Discord</t>
        </is>
      </c>
      <c r="D75" s="11" t="n"/>
      <c r="E75" s="11" t="n"/>
      <c r="F75" s="11">
        <f>IF($E75="","",IF($E75="Dead Lead","Black",IF(IF(ISNUMBER($J75),TODAY()-$J75&gt;3,FALSE),"Red",IF($E75="Reactivation Queue","Red",IF(OR($E75="First Deposit",$E75="Active"),"Green","Yellow")))))</f>
        <v/>
      </c>
      <c r="G75" s="11">
        <f>IF($F75="","",IF($F75="Red",1,IF($F75="Yellow",2,IF($F75="Green",3,4))))</f>
        <v/>
      </c>
      <c r="H75" s="14" t="n"/>
      <c r="I75" s="14" t="n"/>
      <c r="J75" s="12">
        <f>IF($E75="","",IF(AND(ISNUMBER($AD75),ISNUMBER($AE75)),MIN($AD75,$AE75),IF(ISNUMBER($AE75),$AE75,$AD75)))</f>
        <v/>
      </c>
      <c r="K75" s="11">
        <f>IF($E75="","",IF($E75="VIP Transferred",IF(N($AB75)&gt;=3,"Should be Dead Lead (3 attempts, still no deposit) - will auto-update","Day "&amp;CHOOSE(N($AB75)+1,1,2,3)&amp;" URGENT VIP check-in - help them finish KYC and lock in first deposit"),IF(AND($D75="",$E75&lt;&gt;"Dead Lead"),IF(N($T75)&gt;=3,"READY FOR DEAD LEAD (3 attempts, still no sign-up)","GET ROOBET SIGN-UP - "&amp;IFERROR(VLOOKUP($E75,Lists!$C$2:$E$20,2,FALSE),"")),IFERROR(VLOOKUP($E75,Lists!$C$2:$E$20,2,FALSE),""))))&amp;IF($AC75="Yes",IF(N($X75)&gt;=3," | VIP Team checkpoints complete - no more automatic check-ins"," | Day "&amp;CHOOSE(N($X75)+1,1,7,14)&amp;" VIP Team check-in - confirm active/depositing"),"")</f>
        <v/>
      </c>
      <c r="L75" s="11" t="n"/>
      <c r="M75" s="11" t="n"/>
      <c r="N75" s="15" t="n"/>
      <c r="O75" s="11">
        <f>IF($E75="","",IF(AND($E75="Active",$F75="Green"),"Yes","No"))</f>
        <v/>
      </c>
      <c r="P75" s="11" t="n"/>
      <c r="Q75">
        <f>IF($I75="","",ROUND(TODAY()-$I75,0))</f>
        <v/>
      </c>
      <c r="R75">
        <f>IF($B75="",0,IF(OR(AND(ISNUMBER($J75),$J75&lt;=TODAY(),$E75&lt;&gt;"Dead Lead"),AND($D75="",$E75&lt;&gt;"",$E75&lt;&gt;"Dead Lead",OR($I75="",$I75&lt;TODAY()))),1,0))</f>
        <v/>
      </c>
      <c r="S75">
        <f>IF($R75=1,SUMPRODUCT(($R$4:$R$203=1)*(($Q$4:$Q$203&gt;$Q75)+(($Q$4:$Q$203=$Q75)*(ROW($Q$4:$Q$203)&lt;ROW($Q75)))))+1,"")</f>
        <v/>
      </c>
      <c r="T75" s="11">
        <f>IF($B75="","",0)</f>
        <v/>
      </c>
      <c r="U75">
        <f>IF($B75="",0,IF($E75="Dead Lead",1,0))</f>
        <v/>
      </c>
      <c r="V75">
        <f>IF($U75=1,SUMPRODUCT(($U$4:$U$203=1)*(($J$4:$J$203&lt;$J75)+(($J$4:$J$203=$J75)*(ROW($J$4:$J$203)&lt;ROW($J75)))))+1,"")</f>
        <v/>
      </c>
      <c r="W75" s="12">
        <f>IF($B75="","","")</f>
        <v/>
      </c>
      <c r="X75" s="11">
        <f>IF($B75="","",0)</f>
        <v/>
      </c>
      <c r="Y75">
        <f>IF($B75="",0,IF(AND($R75=0,$E75&lt;&gt;"Dead Lead",ISNUMBER($J75),$J75&lt;=TODAY()+7),1,0))</f>
        <v/>
      </c>
      <c r="Z75">
        <f>IF($Y75=1,SUMPRODUCT(($Y$4:$Y$203=1)*(($J$4:$J$203&lt;$J75)+(($J$4:$J$203=$J75)*(ROW($J$4:$J$203)&lt;ROW($J75)))))+1,"")</f>
        <v/>
      </c>
      <c r="AA75" s="12">
        <f>IF($B75="","","")</f>
        <v/>
      </c>
      <c r="AB75" s="11">
        <f>IF($B75="","",0)</f>
        <v/>
      </c>
      <c r="AC75" s="11" t="n"/>
      <c r="AD75">
        <f>IF($E75="","",IF($E75="VIP Transferred",IF($AA75="","",IF(N($AB75)&gt;=3,"N/A - Closed",$AA75+CHOOSE(N($AB75)+1,1,2,3))),IF($I75="","",IF(VLOOKUP($E75,Lists!$C$2:$E$20,3,FALSE)="CLOSED","N/A - Closed",$I75+VLOOKUP($E75,Lists!$C$2:$E$20,3,FALSE)))))</f>
        <v/>
      </c>
      <c r="AE75">
        <f>IF(AND($AC75="Yes",$W75&lt;&gt;"",N($X75)&lt;3),$W75+CHOOSE(N($X75)+1,1,7,14),"")</f>
        <v/>
      </c>
      <c r="AF75" s="12">
        <f>IF($B75="","","")</f>
        <v/>
      </c>
    </row>
    <row r="76">
      <c r="A76" s="11">
        <f>IF($B76="","","YU-"&amp;TEXT(ROW()-3,"0000"))</f>
        <v/>
      </c>
      <c r="B76" s="11" t="n"/>
      <c r="C76" s="11" t="inlineStr">
        <is>
          <t>Discord</t>
        </is>
      </c>
      <c r="D76" s="11" t="n"/>
      <c r="E76" s="11" t="n"/>
      <c r="F76" s="11">
        <f>IF($E76="","",IF($E76="Dead Lead","Black",IF(IF(ISNUMBER($J76),TODAY()-$J76&gt;3,FALSE),"Red",IF($E76="Reactivation Queue","Red",IF(OR($E76="First Deposit",$E76="Active"),"Green","Yellow")))))</f>
        <v/>
      </c>
      <c r="G76" s="11">
        <f>IF($F76="","",IF($F76="Red",1,IF($F76="Yellow",2,IF($F76="Green",3,4))))</f>
        <v/>
      </c>
      <c r="H76" s="14" t="n"/>
      <c r="I76" s="14" t="n"/>
      <c r="J76" s="12">
        <f>IF($E76="","",IF(AND(ISNUMBER($AD76),ISNUMBER($AE76)),MIN($AD76,$AE76),IF(ISNUMBER($AE76),$AE76,$AD76)))</f>
        <v/>
      </c>
      <c r="K76" s="11">
        <f>IF($E76="","",IF($E76="VIP Transferred",IF(N($AB76)&gt;=3,"Should be Dead Lead (3 attempts, still no deposit) - will auto-update","Day "&amp;CHOOSE(N($AB76)+1,1,2,3)&amp;" URGENT VIP check-in - help them finish KYC and lock in first deposit"),IF(AND($D76="",$E76&lt;&gt;"Dead Lead"),IF(N($T76)&gt;=3,"READY FOR DEAD LEAD (3 attempts, still no sign-up)","GET ROOBET SIGN-UP - "&amp;IFERROR(VLOOKUP($E76,Lists!$C$2:$E$20,2,FALSE),"")),IFERROR(VLOOKUP($E76,Lists!$C$2:$E$20,2,FALSE),""))))&amp;IF($AC76="Yes",IF(N($X76)&gt;=3," | VIP Team checkpoints complete - no more automatic check-ins"," | Day "&amp;CHOOSE(N($X76)+1,1,7,14)&amp;" VIP Team check-in - confirm active/depositing"),"")</f>
        <v/>
      </c>
      <c r="L76" s="11" t="n"/>
      <c r="M76" s="11" t="n"/>
      <c r="N76" s="15" t="n"/>
      <c r="O76" s="11">
        <f>IF($E76="","",IF(AND($E76="Active",$F76="Green"),"Yes","No"))</f>
        <v/>
      </c>
      <c r="P76" s="11" t="n"/>
      <c r="Q76">
        <f>IF($I76="","",ROUND(TODAY()-$I76,0))</f>
        <v/>
      </c>
      <c r="R76">
        <f>IF($B76="",0,IF(OR(AND(ISNUMBER($J76),$J76&lt;=TODAY(),$E76&lt;&gt;"Dead Lead"),AND($D76="",$E76&lt;&gt;"",$E76&lt;&gt;"Dead Lead",OR($I76="",$I76&lt;TODAY()))),1,0))</f>
        <v/>
      </c>
      <c r="S76">
        <f>IF($R76=1,SUMPRODUCT(($R$4:$R$203=1)*(($Q$4:$Q$203&gt;$Q76)+(($Q$4:$Q$203=$Q76)*(ROW($Q$4:$Q$203)&lt;ROW($Q76)))))+1,"")</f>
        <v/>
      </c>
      <c r="T76" s="11">
        <f>IF($B76="","",0)</f>
        <v/>
      </c>
      <c r="U76">
        <f>IF($B76="",0,IF($E76="Dead Lead",1,0))</f>
        <v/>
      </c>
      <c r="V76">
        <f>IF($U76=1,SUMPRODUCT(($U$4:$U$203=1)*(($J$4:$J$203&lt;$J76)+(($J$4:$J$203=$J76)*(ROW($J$4:$J$203)&lt;ROW($J76)))))+1,"")</f>
        <v/>
      </c>
      <c r="W76" s="12">
        <f>IF($B76="","","")</f>
        <v/>
      </c>
      <c r="X76" s="11">
        <f>IF($B76="","",0)</f>
        <v/>
      </c>
      <c r="Y76">
        <f>IF($B76="",0,IF(AND($R76=0,$E76&lt;&gt;"Dead Lead",ISNUMBER($J76),$J76&lt;=TODAY()+7),1,0))</f>
        <v/>
      </c>
      <c r="Z76">
        <f>IF($Y76=1,SUMPRODUCT(($Y$4:$Y$203=1)*(($J$4:$J$203&lt;$J76)+(($J$4:$J$203=$J76)*(ROW($J$4:$J$203)&lt;ROW($J76)))))+1,"")</f>
        <v/>
      </c>
      <c r="AA76" s="12">
        <f>IF($B76="","","")</f>
        <v/>
      </c>
      <c r="AB76" s="11">
        <f>IF($B76="","",0)</f>
        <v/>
      </c>
      <c r="AC76" s="11" t="n"/>
      <c r="AD76">
        <f>IF($E76="","",IF($E76="VIP Transferred",IF($AA76="","",IF(N($AB76)&gt;=3,"N/A - Closed",$AA76+CHOOSE(N($AB76)+1,1,2,3))),IF($I76="","",IF(VLOOKUP($E76,Lists!$C$2:$E$20,3,FALSE)="CLOSED","N/A - Closed",$I76+VLOOKUP($E76,Lists!$C$2:$E$20,3,FALSE)))))</f>
        <v/>
      </c>
      <c r="AE76">
        <f>IF(AND($AC76="Yes",$W76&lt;&gt;"",N($X76)&lt;3),$W76+CHOOSE(N($X76)+1,1,7,14),"")</f>
        <v/>
      </c>
      <c r="AF76" s="12">
        <f>IF($B76="","","")</f>
        <v/>
      </c>
    </row>
    <row r="77">
      <c r="A77" s="11">
        <f>IF($B77="","","YU-"&amp;TEXT(ROW()-3,"0000"))</f>
        <v/>
      </c>
      <c r="B77" s="11" t="n"/>
      <c r="C77" s="11" t="inlineStr">
        <is>
          <t>Discord</t>
        </is>
      </c>
      <c r="D77" s="11" t="n"/>
      <c r="E77" s="11" t="n"/>
      <c r="F77" s="11">
        <f>IF($E77="","",IF($E77="Dead Lead","Black",IF(IF(ISNUMBER($J77),TODAY()-$J77&gt;3,FALSE),"Red",IF($E77="Reactivation Queue","Red",IF(OR($E77="First Deposit",$E77="Active"),"Green","Yellow")))))</f>
        <v/>
      </c>
      <c r="G77" s="11">
        <f>IF($F77="","",IF($F77="Red",1,IF($F77="Yellow",2,IF($F77="Green",3,4))))</f>
        <v/>
      </c>
      <c r="H77" s="14" t="n"/>
      <c r="I77" s="14" t="n"/>
      <c r="J77" s="12">
        <f>IF($E77="","",IF(AND(ISNUMBER($AD77),ISNUMBER($AE77)),MIN($AD77,$AE77),IF(ISNUMBER($AE77),$AE77,$AD77)))</f>
        <v/>
      </c>
      <c r="K77" s="11">
        <f>IF($E77="","",IF($E77="VIP Transferred",IF(N($AB77)&gt;=3,"Should be Dead Lead (3 attempts, still no deposit) - will auto-update","Day "&amp;CHOOSE(N($AB77)+1,1,2,3)&amp;" URGENT VIP check-in - help them finish KYC and lock in first deposit"),IF(AND($D77="",$E77&lt;&gt;"Dead Lead"),IF(N($T77)&gt;=3,"READY FOR DEAD LEAD (3 attempts, still no sign-up)","GET ROOBET SIGN-UP - "&amp;IFERROR(VLOOKUP($E77,Lists!$C$2:$E$20,2,FALSE),"")),IFERROR(VLOOKUP($E77,Lists!$C$2:$E$20,2,FALSE),""))))&amp;IF($AC77="Yes",IF(N($X77)&gt;=3," | VIP Team checkpoints complete - no more automatic check-ins"," | Day "&amp;CHOOSE(N($X77)+1,1,7,14)&amp;" VIP Team check-in - confirm active/depositing"),"")</f>
        <v/>
      </c>
      <c r="L77" s="11" t="n"/>
      <c r="M77" s="11" t="n"/>
      <c r="N77" s="15" t="n"/>
      <c r="O77" s="11">
        <f>IF($E77="","",IF(AND($E77="Active",$F77="Green"),"Yes","No"))</f>
        <v/>
      </c>
      <c r="P77" s="11" t="n"/>
      <c r="Q77">
        <f>IF($I77="","",ROUND(TODAY()-$I77,0))</f>
        <v/>
      </c>
      <c r="R77">
        <f>IF($B77="",0,IF(OR(AND(ISNUMBER($J77),$J77&lt;=TODAY(),$E77&lt;&gt;"Dead Lead"),AND($D77="",$E77&lt;&gt;"",$E77&lt;&gt;"Dead Lead",OR($I77="",$I77&lt;TODAY()))),1,0))</f>
        <v/>
      </c>
      <c r="S77">
        <f>IF($R77=1,SUMPRODUCT(($R$4:$R$203=1)*(($Q$4:$Q$203&gt;$Q77)+(($Q$4:$Q$203=$Q77)*(ROW($Q$4:$Q$203)&lt;ROW($Q77)))))+1,"")</f>
        <v/>
      </c>
      <c r="T77" s="11">
        <f>IF($B77="","",0)</f>
        <v/>
      </c>
      <c r="U77">
        <f>IF($B77="",0,IF($E77="Dead Lead",1,0))</f>
        <v/>
      </c>
      <c r="V77">
        <f>IF($U77=1,SUMPRODUCT(($U$4:$U$203=1)*(($J$4:$J$203&lt;$J77)+(($J$4:$J$203=$J77)*(ROW($J$4:$J$203)&lt;ROW($J77)))))+1,"")</f>
        <v/>
      </c>
      <c r="W77" s="12">
        <f>IF($B77="","","")</f>
        <v/>
      </c>
      <c r="X77" s="11">
        <f>IF($B77="","",0)</f>
        <v/>
      </c>
      <c r="Y77">
        <f>IF($B77="",0,IF(AND($R77=0,$E77&lt;&gt;"Dead Lead",ISNUMBER($J77),$J77&lt;=TODAY()+7),1,0))</f>
        <v/>
      </c>
      <c r="Z77">
        <f>IF($Y77=1,SUMPRODUCT(($Y$4:$Y$203=1)*(($J$4:$J$203&lt;$J77)+(($J$4:$J$203=$J77)*(ROW($J$4:$J$203)&lt;ROW($J77)))))+1,"")</f>
        <v/>
      </c>
      <c r="AA77" s="12">
        <f>IF($B77="","","")</f>
        <v/>
      </c>
      <c r="AB77" s="11">
        <f>IF($B77="","",0)</f>
        <v/>
      </c>
      <c r="AC77" s="11" t="n"/>
      <c r="AD77">
        <f>IF($E77="","",IF($E77="VIP Transferred",IF($AA77="","",IF(N($AB77)&gt;=3,"N/A - Closed",$AA77+CHOOSE(N($AB77)+1,1,2,3))),IF($I77="","",IF(VLOOKUP($E77,Lists!$C$2:$E$20,3,FALSE)="CLOSED","N/A - Closed",$I77+VLOOKUP($E77,Lists!$C$2:$E$20,3,FALSE)))))</f>
        <v/>
      </c>
      <c r="AE77">
        <f>IF(AND($AC77="Yes",$W77&lt;&gt;"",N($X77)&lt;3),$W77+CHOOSE(N($X77)+1,1,7,14),"")</f>
        <v/>
      </c>
      <c r="AF77" s="12">
        <f>IF($B77="","","")</f>
        <v/>
      </c>
    </row>
    <row r="78">
      <c r="A78" s="11">
        <f>IF($B78="","","YU-"&amp;TEXT(ROW()-3,"0000"))</f>
        <v/>
      </c>
      <c r="B78" s="11" t="n"/>
      <c r="C78" s="11" t="inlineStr">
        <is>
          <t>Discord</t>
        </is>
      </c>
      <c r="D78" s="11" t="n"/>
      <c r="E78" s="11" t="n"/>
      <c r="F78" s="11">
        <f>IF($E78="","",IF($E78="Dead Lead","Black",IF(IF(ISNUMBER($J78),TODAY()-$J78&gt;3,FALSE),"Red",IF($E78="Reactivation Queue","Red",IF(OR($E78="First Deposit",$E78="Active"),"Green","Yellow")))))</f>
        <v/>
      </c>
      <c r="G78" s="11">
        <f>IF($F78="","",IF($F78="Red",1,IF($F78="Yellow",2,IF($F78="Green",3,4))))</f>
        <v/>
      </c>
      <c r="H78" s="14" t="n"/>
      <c r="I78" s="14" t="n"/>
      <c r="J78" s="12">
        <f>IF($E78="","",IF(AND(ISNUMBER($AD78),ISNUMBER($AE78)),MIN($AD78,$AE78),IF(ISNUMBER($AE78),$AE78,$AD78)))</f>
        <v/>
      </c>
      <c r="K78" s="11">
        <f>IF($E78="","",IF($E78="VIP Transferred",IF(N($AB78)&gt;=3,"Should be Dead Lead (3 attempts, still no deposit) - will auto-update","Day "&amp;CHOOSE(N($AB78)+1,1,2,3)&amp;" URGENT VIP check-in - help them finish KYC and lock in first deposit"),IF(AND($D78="",$E78&lt;&gt;"Dead Lead"),IF(N($T78)&gt;=3,"READY FOR DEAD LEAD (3 attempts, still no sign-up)","GET ROOBET SIGN-UP - "&amp;IFERROR(VLOOKUP($E78,Lists!$C$2:$E$20,2,FALSE),"")),IFERROR(VLOOKUP($E78,Lists!$C$2:$E$20,2,FALSE),""))))&amp;IF($AC78="Yes",IF(N($X78)&gt;=3," | VIP Team checkpoints complete - no more automatic check-ins"," | Day "&amp;CHOOSE(N($X78)+1,1,7,14)&amp;" VIP Team check-in - confirm active/depositing"),"")</f>
        <v/>
      </c>
      <c r="L78" s="11" t="n"/>
      <c r="M78" s="11" t="n"/>
      <c r="N78" s="15" t="n"/>
      <c r="O78" s="11">
        <f>IF($E78="","",IF(AND($E78="Active",$F78="Green"),"Yes","No"))</f>
        <v/>
      </c>
      <c r="P78" s="11" t="n"/>
      <c r="Q78">
        <f>IF($I78="","",ROUND(TODAY()-$I78,0))</f>
        <v/>
      </c>
      <c r="R78">
        <f>IF($B78="",0,IF(OR(AND(ISNUMBER($J78),$J78&lt;=TODAY(),$E78&lt;&gt;"Dead Lead"),AND($D78="",$E78&lt;&gt;"",$E78&lt;&gt;"Dead Lead",OR($I78="",$I78&lt;TODAY()))),1,0))</f>
        <v/>
      </c>
      <c r="S78">
        <f>IF($R78=1,SUMPRODUCT(($R$4:$R$203=1)*(($Q$4:$Q$203&gt;$Q78)+(($Q$4:$Q$203=$Q78)*(ROW($Q$4:$Q$203)&lt;ROW($Q78)))))+1,"")</f>
        <v/>
      </c>
      <c r="T78" s="11">
        <f>IF($B78="","",0)</f>
        <v/>
      </c>
      <c r="U78">
        <f>IF($B78="",0,IF($E78="Dead Lead",1,0))</f>
        <v/>
      </c>
      <c r="V78">
        <f>IF($U78=1,SUMPRODUCT(($U$4:$U$203=1)*(($J$4:$J$203&lt;$J78)+(($J$4:$J$203=$J78)*(ROW($J$4:$J$203)&lt;ROW($J78)))))+1,"")</f>
        <v/>
      </c>
      <c r="W78" s="12">
        <f>IF($B78="","","")</f>
        <v/>
      </c>
      <c r="X78" s="11">
        <f>IF($B78="","",0)</f>
        <v/>
      </c>
      <c r="Y78">
        <f>IF($B78="",0,IF(AND($R78=0,$E78&lt;&gt;"Dead Lead",ISNUMBER($J78),$J78&lt;=TODAY()+7),1,0))</f>
        <v/>
      </c>
      <c r="Z78">
        <f>IF($Y78=1,SUMPRODUCT(($Y$4:$Y$203=1)*(($J$4:$J$203&lt;$J78)+(($J$4:$J$203=$J78)*(ROW($J$4:$J$203)&lt;ROW($J78)))))+1,"")</f>
        <v/>
      </c>
      <c r="AA78" s="12">
        <f>IF($B78="","","")</f>
        <v/>
      </c>
      <c r="AB78" s="11">
        <f>IF($B78="","",0)</f>
        <v/>
      </c>
      <c r="AC78" s="11" t="n"/>
      <c r="AD78">
        <f>IF($E78="","",IF($E78="VIP Transferred",IF($AA78="","",IF(N($AB78)&gt;=3,"N/A - Closed",$AA78+CHOOSE(N($AB78)+1,1,2,3))),IF($I78="","",IF(VLOOKUP($E78,Lists!$C$2:$E$20,3,FALSE)="CLOSED","N/A - Closed",$I78+VLOOKUP($E78,Lists!$C$2:$E$20,3,FALSE)))))</f>
        <v/>
      </c>
      <c r="AE78">
        <f>IF(AND($AC78="Yes",$W78&lt;&gt;"",N($X78)&lt;3),$W78+CHOOSE(N($X78)+1,1,7,14),"")</f>
        <v/>
      </c>
      <c r="AF78" s="12">
        <f>IF($B78="","","")</f>
        <v/>
      </c>
    </row>
    <row r="79">
      <c r="A79" s="11">
        <f>IF($B79="","","YU-"&amp;TEXT(ROW()-3,"0000"))</f>
        <v/>
      </c>
      <c r="B79" s="11" t="n"/>
      <c r="C79" s="11" t="inlineStr">
        <is>
          <t>Discord</t>
        </is>
      </c>
      <c r="D79" s="11" t="n"/>
      <c r="E79" s="11" t="n"/>
      <c r="F79" s="11">
        <f>IF($E79="","",IF($E79="Dead Lead","Black",IF(IF(ISNUMBER($J79),TODAY()-$J79&gt;3,FALSE),"Red",IF($E79="Reactivation Queue","Red",IF(OR($E79="First Deposit",$E79="Active"),"Green","Yellow")))))</f>
        <v/>
      </c>
      <c r="G79" s="11">
        <f>IF($F79="","",IF($F79="Red",1,IF($F79="Yellow",2,IF($F79="Green",3,4))))</f>
        <v/>
      </c>
      <c r="H79" s="14" t="n"/>
      <c r="I79" s="14" t="n"/>
      <c r="J79" s="12">
        <f>IF($E79="","",IF(AND(ISNUMBER($AD79),ISNUMBER($AE79)),MIN($AD79,$AE79),IF(ISNUMBER($AE79),$AE79,$AD79)))</f>
        <v/>
      </c>
      <c r="K79" s="11">
        <f>IF($E79="","",IF($E79="VIP Transferred",IF(N($AB79)&gt;=3,"Should be Dead Lead (3 attempts, still no deposit) - will auto-update","Day "&amp;CHOOSE(N($AB79)+1,1,2,3)&amp;" URGENT VIP check-in - help them finish KYC and lock in first deposit"),IF(AND($D79="",$E79&lt;&gt;"Dead Lead"),IF(N($T79)&gt;=3,"READY FOR DEAD LEAD (3 attempts, still no sign-up)","GET ROOBET SIGN-UP - "&amp;IFERROR(VLOOKUP($E79,Lists!$C$2:$E$20,2,FALSE),"")),IFERROR(VLOOKUP($E79,Lists!$C$2:$E$20,2,FALSE),""))))&amp;IF($AC79="Yes",IF(N($X79)&gt;=3," | VIP Team checkpoints complete - no more automatic check-ins"," | Day "&amp;CHOOSE(N($X79)+1,1,7,14)&amp;" VIP Team check-in - confirm active/depositing"),"")</f>
        <v/>
      </c>
      <c r="L79" s="11" t="n"/>
      <c r="M79" s="11" t="n"/>
      <c r="N79" s="15" t="n"/>
      <c r="O79" s="11">
        <f>IF($E79="","",IF(AND($E79="Active",$F79="Green"),"Yes","No"))</f>
        <v/>
      </c>
      <c r="P79" s="11" t="n"/>
      <c r="Q79">
        <f>IF($I79="","",ROUND(TODAY()-$I79,0))</f>
        <v/>
      </c>
      <c r="R79">
        <f>IF($B79="",0,IF(OR(AND(ISNUMBER($J79),$J79&lt;=TODAY(),$E79&lt;&gt;"Dead Lead"),AND($D79="",$E79&lt;&gt;"",$E79&lt;&gt;"Dead Lead",OR($I79="",$I79&lt;TODAY()))),1,0))</f>
        <v/>
      </c>
      <c r="S79">
        <f>IF($R79=1,SUMPRODUCT(($R$4:$R$203=1)*(($Q$4:$Q$203&gt;$Q79)+(($Q$4:$Q$203=$Q79)*(ROW($Q$4:$Q$203)&lt;ROW($Q79)))))+1,"")</f>
        <v/>
      </c>
      <c r="T79" s="11">
        <f>IF($B79="","",0)</f>
        <v/>
      </c>
      <c r="U79">
        <f>IF($B79="",0,IF($E79="Dead Lead",1,0))</f>
        <v/>
      </c>
      <c r="V79">
        <f>IF($U79=1,SUMPRODUCT(($U$4:$U$203=1)*(($J$4:$J$203&lt;$J79)+(($J$4:$J$203=$J79)*(ROW($J$4:$J$203)&lt;ROW($J79)))))+1,"")</f>
        <v/>
      </c>
      <c r="W79" s="12">
        <f>IF($B79="","","")</f>
        <v/>
      </c>
      <c r="X79" s="11">
        <f>IF($B79="","",0)</f>
        <v/>
      </c>
      <c r="Y79">
        <f>IF($B79="",0,IF(AND($R79=0,$E79&lt;&gt;"Dead Lead",ISNUMBER($J79),$J79&lt;=TODAY()+7),1,0))</f>
        <v/>
      </c>
      <c r="Z79">
        <f>IF($Y79=1,SUMPRODUCT(($Y$4:$Y$203=1)*(($J$4:$J$203&lt;$J79)+(($J$4:$J$203=$J79)*(ROW($J$4:$J$203)&lt;ROW($J79)))))+1,"")</f>
        <v/>
      </c>
      <c r="AA79" s="12">
        <f>IF($B79="","","")</f>
        <v/>
      </c>
      <c r="AB79" s="11">
        <f>IF($B79="","",0)</f>
        <v/>
      </c>
      <c r="AC79" s="11" t="n"/>
      <c r="AD79">
        <f>IF($E79="","",IF($E79="VIP Transferred",IF($AA79="","",IF(N($AB79)&gt;=3,"N/A - Closed",$AA79+CHOOSE(N($AB79)+1,1,2,3))),IF($I79="","",IF(VLOOKUP($E79,Lists!$C$2:$E$20,3,FALSE)="CLOSED","N/A - Closed",$I79+VLOOKUP($E79,Lists!$C$2:$E$20,3,FALSE)))))</f>
        <v/>
      </c>
      <c r="AE79">
        <f>IF(AND($AC79="Yes",$W79&lt;&gt;"",N($X79)&lt;3),$W79+CHOOSE(N($X79)+1,1,7,14),"")</f>
        <v/>
      </c>
      <c r="AF79" s="12">
        <f>IF($B79="","","")</f>
        <v/>
      </c>
    </row>
    <row r="80">
      <c r="A80" s="11">
        <f>IF($B80="","","YU-"&amp;TEXT(ROW()-3,"0000"))</f>
        <v/>
      </c>
      <c r="B80" s="11" t="n"/>
      <c r="C80" s="11" t="inlineStr">
        <is>
          <t>Discord</t>
        </is>
      </c>
      <c r="D80" s="11" t="n"/>
      <c r="E80" s="11" t="n"/>
      <c r="F80" s="11">
        <f>IF($E80="","",IF($E80="Dead Lead","Black",IF(IF(ISNUMBER($J80),TODAY()-$J80&gt;3,FALSE),"Red",IF($E80="Reactivation Queue","Red",IF(OR($E80="First Deposit",$E80="Active"),"Green","Yellow")))))</f>
        <v/>
      </c>
      <c r="G80" s="11">
        <f>IF($F80="","",IF($F80="Red",1,IF($F80="Yellow",2,IF($F80="Green",3,4))))</f>
        <v/>
      </c>
      <c r="H80" s="14" t="n"/>
      <c r="I80" s="14" t="n"/>
      <c r="J80" s="12">
        <f>IF($E80="","",IF(AND(ISNUMBER($AD80),ISNUMBER($AE80)),MIN($AD80,$AE80),IF(ISNUMBER($AE80),$AE80,$AD80)))</f>
        <v/>
      </c>
      <c r="K80" s="11">
        <f>IF($E80="","",IF($E80="VIP Transferred",IF(N($AB80)&gt;=3,"Should be Dead Lead (3 attempts, still no deposit) - will auto-update","Day "&amp;CHOOSE(N($AB80)+1,1,2,3)&amp;" URGENT VIP check-in - help them finish KYC and lock in first deposit"),IF(AND($D80="",$E80&lt;&gt;"Dead Lead"),IF(N($T80)&gt;=3,"READY FOR DEAD LEAD (3 attempts, still no sign-up)","GET ROOBET SIGN-UP - "&amp;IFERROR(VLOOKUP($E80,Lists!$C$2:$E$20,2,FALSE),"")),IFERROR(VLOOKUP($E80,Lists!$C$2:$E$20,2,FALSE),""))))&amp;IF($AC80="Yes",IF(N($X80)&gt;=3," | VIP Team checkpoints complete - no more automatic check-ins"," | Day "&amp;CHOOSE(N($X80)+1,1,7,14)&amp;" VIP Team check-in - confirm active/depositing"),"")</f>
        <v/>
      </c>
      <c r="L80" s="11" t="n"/>
      <c r="M80" s="11" t="n"/>
      <c r="N80" s="15" t="n"/>
      <c r="O80" s="11">
        <f>IF($E80="","",IF(AND($E80="Active",$F80="Green"),"Yes","No"))</f>
        <v/>
      </c>
      <c r="P80" s="11" t="n"/>
      <c r="Q80">
        <f>IF($I80="","",ROUND(TODAY()-$I80,0))</f>
        <v/>
      </c>
      <c r="R80">
        <f>IF($B80="",0,IF(OR(AND(ISNUMBER($J80),$J80&lt;=TODAY(),$E80&lt;&gt;"Dead Lead"),AND($D80="",$E80&lt;&gt;"",$E80&lt;&gt;"Dead Lead",OR($I80="",$I80&lt;TODAY()))),1,0))</f>
        <v/>
      </c>
      <c r="S80">
        <f>IF($R80=1,SUMPRODUCT(($R$4:$R$203=1)*(($Q$4:$Q$203&gt;$Q80)+(($Q$4:$Q$203=$Q80)*(ROW($Q$4:$Q$203)&lt;ROW($Q80)))))+1,"")</f>
        <v/>
      </c>
      <c r="T80" s="11">
        <f>IF($B80="","",0)</f>
        <v/>
      </c>
      <c r="U80">
        <f>IF($B80="",0,IF($E80="Dead Lead",1,0))</f>
        <v/>
      </c>
      <c r="V80">
        <f>IF($U80=1,SUMPRODUCT(($U$4:$U$203=1)*(($J$4:$J$203&lt;$J80)+(($J$4:$J$203=$J80)*(ROW($J$4:$J$203)&lt;ROW($J80)))))+1,"")</f>
        <v/>
      </c>
      <c r="W80" s="12">
        <f>IF($B80="","","")</f>
        <v/>
      </c>
      <c r="X80" s="11">
        <f>IF($B80="","",0)</f>
        <v/>
      </c>
      <c r="Y80">
        <f>IF($B80="",0,IF(AND($R80=0,$E80&lt;&gt;"Dead Lead",ISNUMBER($J80),$J80&lt;=TODAY()+7),1,0))</f>
        <v/>
      </c>
      <c r="Z80">
        <f>IF($Y80=1,SUMPRODUCT(($Y$4:$Y$203=1)*(($J$4:$J$203&lt;$J80)+(($J$4:$J$203=$J80)*(ROW($J$4:$J$203)&lt;ROW($J80)))))+1,"")</f>
        <v/>
      </c>
      <c r="AA80" s="12">
        <f>IF($B80="","","")</f>
        <v/>
      </c>
      <c r="AB80" s="11">
        <f>IF($B80="","",0)</f>
        <v/>
      </c>
      <c r="AC80" s="11" t="n"/>
      <c r="AD80">
        <f>IF($E80="","",IF($E80="VIP Transferred",IF($AA80="","",IF(N($AB80)&gt;=3,"N/A - Closed",$AA80+CHOOSE(N($AB80)+1,1,2,3))),IF($I80="","",IF(VLOOKUP($E80,Lists!$C$2:$E$20,3,FALSE)="CLOSED","N/A - Closed",$I80+VLOOKUP($E80,Lists!$C$2:$E$20,3,FALSE)))))</f>
        <v/>
      </c>
      <c r="AE80">
        <f>IF(AND($AC80="Yes",$W80&lt;&gt;"",N($X80)&lt;3),$W80+CHOOSE(N($X80)+1,1,7,14),"")</f>
        <v/>
      </c>
      <c r="AF80" s="12">
        <f>IF($B80="","","")</f>
        <v/>
      </c>
    </row>
    <row r="81">
      <c r="A81" s="11">
        <f>IF($B81="","","YU-"&amp;TEXT(ROW()-3,"0000"))</f>
        <v/>
      </c>
      <c r="B81" s="11" t="n"/>
      <c r="C81" s="11" t="inlineStr">
        <is>
          <t>Discord</t>
        </is>
      </c>
      <c r="D81" s="11" t="n"/>
      <c r="E81" s="11" t="n"/>
      <c r="F81" s="11">
        <f>IF($E81="","",IF($E81="Dead Lead","Black",IF(IF(ISNUMBER($J81),TODAY()-$J81&gt;3,FALSE),"Red",IF($E81="Reactivation Queue","Red",IF(OR($E81="First Deposit",$E81="Active"),"Green","Yellow")))))</f>
        <v/>
      </c>
      <c r="G81" s="11">
        <f>IF($F81="","",IF($F81="Red",1,IF($F81="Yellow",2,IF($F81="Green",3,4))))</f>
        <v/>
      </c>
      <c r="H81" s="14" t="n"/>
      <c r="I81" s="14" t="n"/>
      <c r="J81" s="12">
        <f>IF($E81="","",IF(AND(ISNUMBER($AD81),ISNUMBER($AE81)),MIN($AD81,$AE81),IF(ISNUMBER($AE81),$AE81,$AD81)))</f>
        <v/>
      </c>
      <c r="K81" s="11">
        <f>IF($E81="","",IF($E81="VIP Transferred",IF(N($AB81)&gt;=3,"Should be Dead Lead (3 attempts, still no deposit) - will auto-update","Day "&amp;CHOOSE(N($AB81)+1,1,2,3)&amp;" URGENT VIP check-in - help them finish KYC and lock in first deposit"),IF(AND($D81="",$E81&lt;&gt;"Dead Lead"),IF(N($T81)&gt;=3,"READY FOR DEAD LEAD (3 attempts, still no sign-up)","GET ROOBET SIGN-UP - "&amp;IFERROR(VLOOKUP($E81,Lists!$C$2:$E$20,2,FALSE),"")),IFERROR(VLOOKUP($E81,Lists!$C$2:$E$20,2,FALSE),""))))&amp;IF($AC81="Yes",IF(N($X81)&gt;=3," | VIP Team checkpoints complete - no more automatic check-ins"," | Day "&amp;CHOOSE(N($X81)+1,1,7,14)&amp;" VIP Team check-in - confirm active/depositing"),"")</f>
        <v/>
      </c>
      <c r="L81" s="11" t="n"/>
      <c r="M81" s="11" t="n"/>
      <c r="N81" s="15" t="n"/>
      <c r="O81" s="11">
        <f>IF($E81="","",IF(AND($E81="Active",$F81="Green"),"Yes","No"))</f>
        <v/>
      </c>
      <c r="P81" s="11" t="n"/>
      <c r="Q81">
        <f>IF($I81="","",ROUND(TODAY()-$I81,0))</f>
        <v/>
      </c>
      <c r="R81">
        <f>IF($B81="",0,IF(OR(AND(ISNUMBER($J81),$J81&lt;=TODAY(),$E81&lt;&gt;"Dead Lead"),AND($D81="",$E81&lt;&gt;"",$E81&lt;&gt;"Dead Lead",OR($I81="",$I81&lt;TODAY()))),1,0))</f>
        <v/>
      </c>
      <c r="S81">
        <f>IF($R81=1,SUMPRODUCT(($R$4:$R$203=1)*(($Q$4:$Q$203&gt;$Q81)+(($Q$4:$Q$203=$Q81)*(ROW($Q$4:$Q$203)&lt;ROW($Q81)))))+1,"")</f>
        <v/>
      </c>
      <c r="T81" s="11">
        <f>IF($B81="","",0)</f>
        <v/>
      </c>
      <c r="U81">
        <f>IF($B81="",0,IF($E81="Dead Lead",1,0))</f>
        <v/>
      </c>
      <c r="V81">
        <f>IF($U81=1,SUMPRODUCT(($U$4:$U$203=1)*(($J$4:$J$203&lt;$J81)+(($J$4:$J$203=$J81)*(ROW($J$4:$J$203)&lt;ROW($J81)))))+1,"")</f>
        <v/>
      </c>
      <c r="W81" s="12">
        <f>IF($B81="","","")</f>
        <v/>
      </c>
      <c r="X81" s="11">
        <f>IF($B81="","",0)</f>
        <v/>
      </c>
      <c r="Y81">
        <f>IF($B81="",0,IF(AND($R81=0,$E81&lt;&gt;"Dead Lead",ISNUMBER($J81),$J81&lt;=TODAY()+7),1,0))</f>
        <v/>
      </c>
      <c r="Z81">
        <f>IF($Y81=1,SUMPRODUCT(($Y$4:$Y$203=1)*(($J$4:$J$203&lt;$J81)+(($J$4:$J$203=$J81)*(ROW($J$4:$J$203)&lt;ROW($J81)))))+1,"")</f>
        <v/>
      </c>
      <c r="AA81" s="12">
        <f>IF($B81="","","")</f>
        <v/>
      </c>
      <c r="AB81" s="11">
        <f>IF($B81="","",0)</f>
        <v/>
      </c>
      <c r="AC81" s="11" t="n"/>
      <c r="AD81">
        <f>IF($E81="","",IF($E81="VIP Transferred",IF($AA81="","",IF(N($AB81)&gt;=3,"N/A - Closed",$AA81+CHOOSE(N($AB81)+1,1,2,3))),IF($I81="","",IF(VLOOKUP($E81,Lists!$C$2:$E$20,3,FALSE)="CLOSED","N/A - Closed",$I81+VLOOKUP($E81,Lists!$C$2:$E$20,3,FALSE)))))</f>
        <v/>
      </c>
      <c r="AE81">
        <f>IF(AND($AC81="Yes",$W81&lt;&gt;"",N($X81)&lt;3),$W81+CHOOSE(N($X81)+1,1,7,14),"")</f>
        <v/>
      </c>
      <c r="AF81" s="12">
        <f>IF($B81="","","")</f>
        <v/>
      </c>
    </row>
    <row r="82">
      <c r="A82" s="11">
        <f>IF($B82="","","YU-"&amp;TEXT(ROW()-3,"0000"))</f>
        <v/>
      </c>
      <c r="B82" s="11" t="n"/>
      <c r="C82" s="11" t="inlineStr">
        <is>
          <t>Discord</t>
        </is>
      </c>
      <c r="D82" s="11" t="n"/>
      <c r="E82" s="11" t="n"/>
      <c r="F82" s="11">
        <f>IF($E82="","",IF($E82="Dead Lead","Black",IF(IF(ISNUMBER($J82),TODAY()-$J82&gt;3,FALSE),"Red",IF($E82="Reactivation Queue","Red",IF(OR($E82="First Deposit",$E82="Active"),"Green","Yellow")))))</f>
        <v/>
      </c>
      <c r="G82" s="11">
        <f>IF($F82="","",IF($F82="Red",1,IF($F82="Yellow",2,IF($F82="Green",3,4))))</f>
        <v/>
      </c>
      <c r="H82" s="14" t="n"/>
      <c r="I82" s="14" t="n"/>
      <c r="J82" s="12">
        <f>IF($E82="","",IF(AND(ISNUMBER($AD82),ISNUMBER($AE82)),MIN($AD82,$AE82),IF(ISNUMBER($AE82),$AE82,$AD82)))</f>
        <v/>
      </c>
      <c r="K82" s="11">
        <f>IF($E82="","",IF($E82="VIP Transferred",IF(N($AB82)&gt;=3,"Should be Dead Lead (3 attempts, still no deposit) - will auto-update","Day "&amp;CHOOSE(N($AB82)+1,1,2,3)&amp;" URGENT VIP check-in - help them finish KYC and lock in first deposit"),IF(AND($D82="",$E82&lt;&gt;"Dead Lead"),IF(N($T82)&gt;=3,"READY FOR DEAD LEAD (3 attempts, still no sign-up)","GET ROOBET SIGN-UP - "&amp;IFERROR(VLOOKUP($E82,Lists!$C$2:$E$20,2,FALSE),"")),IFERROR(VLOOKUP($E82,Lists!$C$2:$E$20,2,FALSE),""))))&amp;IF($AC82="Yes",IF(N($X82)&gt;=3," | VIP Team checkpoints complete - no more automatic check-ins"," | Day "&amp;CHOOSE(N($X82)+1,1,7,14)&amp;" VIP Team check-in - confirm active/depositing"),"")</f>
        <v/>
      </c>
      <c r="L82" s="11" t="n"/>
      <c r="M82" s="11" t="n"/>
      <c r="N82" s="15" t="n"/>
      <c r="O82" s="11">
        <f>IF($E82="","",IF(AND($E82="Active",$F82="Green"),"Yes","No"))</f>
        <v/>
      </c>
      <c r="P82" s="11" t="n"/>
      <c r="Q82">
        <f>IF($I82="","",ROUND(TODAY()-$I82,0))</f>
        <v/>
      </c>
      <c r="R82">
        <f>IF($B82="",0,IF(OR(AND(ISNUMBER($J82),$J82&lt;=TODAY(),$E82&lt;&gt;"Dead Lead"),AND($D82="",$E82&lt;&gt;"",$E82&lt;&gt;"Dead Lead",OR($I82="",$I82&lt;TODAY()))),1,0))</f>
        <v/>
      </c>
      <c r="S82">
        <f>IF($R82=1,SUMPRODUCT(($R$4:$R$203=1)*(($Q$4:$Q$203&gt;$Q82)+(($Q$4:$Q$203=$Q82)*(ROW($Q$4:$Q$203)&lt;ROW($Q82)))))+1,"")</f>
        <v/>
      </c>
      <c r="T82" s="11">
        <f>IF($B82="","",0)</f>
        <v/>
      </c>
      <c r="U82">
        <f>IF($B82="",0,IF($E82="Dead Lead",1,0))</f>
        <v/>
      </c>
      <c r="V82">
        <f>IF($U82=1,SUMPRODUCT(($U$4:$U$203=1)*(($J$4:$J$203&lt;$J82)+(($J$4:$J$203=$J82)*(ROW($J$4:$J$203)&lt;ROW($J82)))))+1,"")</f>
        <v/>
      </c>
      <c r="W82" s="12">
        <f>IF($B82="","","")</f>
        <v/>
      </c>
      <c r="X82" s="11">
        <f>IF($B82="","",0)</f>
        <v/>
      </c>
      <c r="Y82">
        <f>IF($B82="",0,IF(AND($R82=0,$E82&lt;&gt;"Dead Lead",ISNUMBER($J82),$J82&lt;=TODAY()+7),1,0))</f>
        <v/>
      </c>
      <c r="Z82">
        <f>IF($Y82=1,SUMPRODUCT(($Y$4:$Y$203=1)*(($J$4:$J$203&lt;$J82)+(($J$4:$J$203=$J82)*(ROW($J$4:$J$203)&lt;ROW($J82)))))+1,"")</f>
        <v/>
      </c>
      <c r="AA82" s="12">
        <f>IF($B82="","","")</f>
        <v/>
      </c>
      <c r="AB82" s="11">
        <f>IF($B82="","",0)</f>
        <v/>
      </c>
      <c r="AC82" s="11" t="n"/>
      <c r="AD82">
        <f>IF($E82="","",IF($E82="VIP Transferred",IF($AA82="","",IF(N($AB82)&gt;=3,"N/A - Closed",$AA82+CHOOSE(N($AB82)+1,1,2,3))),IF($I82="","",IF(VLOOKUP($E82,Lists!$C$2:$E$20,3,FALSE)="CLOSED","N/A - Closed",$I82+VLOOKUP($E82,Lists!$C$2:$E$20,3,FALSE)))))</f>
        <v/>
      </c>
      <c r="AE82">
        <f>IF(AND($AC82="Yes",$W82&lt;&gt;"",N($X82)&lt;3),$W82+CHOOSE(N($X82)+1,1,7,14),"")</f>
        <v/>
      </c>
      <c r="AF82" s="12">
        <f>IF($B82="","","")</f>
        <v/>
      </c>
    </row>
    <row r="83">
      <c r="A83" s="11">
        <f>IF($B83="","","YU-"&amp;TEXT(ROW()-3,"0000"))</f>
        <v/>
      </c>
      <c r="B83" s="11" t="n"/>
      <c r="C83" s="11" t="inlineStr">
        <is>
          <t>Discord</t>
        </is>
      </c>
      <c r="D83" s="11" t="n"/>
      <c r="E83" s="11" t="n"/>
      <c r="F83" s="11">
        <f>IF($E83="","",IF($E83="Dead Lead","Black",IF(IF(ISNUMBER($J83),TODAY()-$J83&gt;3,FALSE),"Red",IF($E83="Reactivation Queue","Red",IF(OR($E83="First Deposit",$E83="Active"),"Green","Yellow")))))</f>
        <v/>
      </c>
      <c r="G83" s="11">
        <f>IF($F83="","",IF($F83="Red",1,IF($F83="Yellow",2,IF($F83="Green",3,4))))</f>
        <v/>
      </c>
      <c r="H83" s="14" t="n"/>
      <c r="I83" s="14" t="n"/>
      <c r="J83" s="12">
        <f>IF($E83="","",IF(AND(ISNUMBER($AD83),ISNUMBER($AE83)),MIN($AD83,$AE83),IF(ISNUMBER($AE83),$AE83,$AD83)))</f>
        <v/>
      </c>
      <c r="K83" s="11">
        <f>IF($E83="","",IF($E83="VIP Transferred",IF(N($AB83)&gt;=3,"Should be Dead Lead (3 attempts, still no deposit) - will auto-update","Day "&amp;CHOOSE(N($AB83)+1,1,2,3)&amp;" URGENT VIP check-in - help them finish KYC and lock in first deposit"),IF(AND($D83="",$E83&lt;&gt;"Dead Lead"),IF(N($T83)&gt;=3,"READY FOR DEAD LEAD (3 attempts, still no sign-up)","GET ROOBET SIGN-UP - "&amp;IFERROR(VLOOKUP($E83,Lists!$C$2:$E$20,2,FALSE),"")),IFERROR(VLOOKUP($E83,Lists!$C$2:$E$20,2,FALSE),""))))&amp;IF($AC83="Yes",IF(N($X83)&gt;=3," | VIP Team checkpoints complete - no more automatic check-ins"," | Day "&amp;CHOOSE(N($X83)+1,1,7,14)&amp;" VIP Team check-in - confirm active/depositing"),"")</f>
        <v/>
      </c>
      <c r="L83" s="11" t="n"/>
      <c r="M83" s="11" t="n"/>
      <c r="N83" s="15" t="n"/>
      <c r="O83" s="11">
        <f>IF($E83="","",IF(AND($E83="Active",$F83="Green"),"Yes","No"))</f>
        <v/>
      </c>
      <c r="P83" s="11" t="n"/>
      <c r="Q83">
        <f>IF($I83="","",ROUND(TODAY()-$I83,0))</f>
        <v/>
      </c>
      <c r="R83">
        <f>IF($B83="",0,IF(OR(AND(ISNUMBER($J83),$J83&lt;=TODAY(),$E83&lt;&gt;"Dead Lead"),AND($D83="",$E83&lt;&gt;"",$E83&lt;&gt;"Dead Lead",OR($I83="",$I83&lt;TODAY()))),1,0))</f>
        <v/>
      </c>
      <c r="S83">
        <f>IF($R83=1,SUMPRODUCT(($R$4:$R$203=1)*(($Q$4:$Q$203&gt;$Q83)+(($Q$4:$Q$203=$Q83)*(ROW($Q$4:$Q$203)&lt;ROW($Q83)))))+1,"")</f>
        <v/>
      </c>
      <c r="T83" s="11">
        <f>IF($B83="","",0)</f>
        <v/>
      </c>
      <c r="U83">
        <f>IF($B83="",0,IF($E83="Dead Lead",1,0))</f>
        <v/>
      </c>
      <c r="V83">
        <f>IF($U83=1,SUMPRODUCT(($U$4:$U$203=1)*(($J$4:$J$203&lt;$J83)+(($J$4:$J$203=$J83)*(ROW($J$4:$J$203)&lt;ROW($J83)))))+1,"")</f>
        <v/>
      </c>
      <c r="W83" s="12">
        <f>IF($B83="","","")</f>
        <v/>
      </c>
      <c r="X83" s="11">
        <f>IF($B83="","",0)</f>
        <v/>
      </c>
      <c r="Y83">
        <f>IF($B83="",0,IF(AND($R83=0,$E83&lt;&gt;"Dead Lead",ISNUMBER($J83),$J83&lt;=TODAY()+7),1,0))</f>
        <v/>
      </c>
      <c r="Z83">
        <f>IF($Y83=1,SUMPRODUCT(($Y$4:$Y$203=1)*(($J$4:$J$203&lt;$J83)+(($J$4:$J$203=$J83)*(ROW($J$4:$J$203)&lt;ROW($J83)))))+1,"")</f>
        <v/>
      </c>
      <c r="AA83" s="12">
        <f>IF($B83="","","")</f>
        <v/>
      </c>
      <c r="AB83" s="11">
        <f>IF($B83="","",0)</f>
        <v/>
      </c>
      <c r="AC83" s="11" t="n"/>
      <c r="AD83">
        <f>IF($E83="","",IF($E83="VIP Transferred",IF($AA83="","",IF(N($AB83)&gt;=3,"N/A - Closed",$AA83+CHOOSE(N($AB83)+1,1,2,3))),IF($I83="","",IF(VLOOKUP($E83,Lists!$C$2:$E$20,3,FALSE)="CLOSED","N/A - Closed",$I83+VLOOKUP($E83,Lists!$C$2:$E$20,3,FALSE)))))</f>
        <v/>
      </c>
      <c r="AE83">
        <f>IF(AND($AC83="Yes",$W83&lt;&gt;"",N($X83)&lt;3),$W83+CHOOSE(N($X83)+1,1,7,14),"")</f>
        <v/>
      </c>
      <c r="AF83" s="12">
        <f>IF($B83="","","")</f>
        <v/>
      </c>
    </row>
    <row r="84">
      <c r="A84" s="11">
        <f>IF($B84="","","YU-"&amp;TEXT(ROW()-3,"0000"))</f>
        <v/>
      </c>
      <c r="B84" s="11" t="n"/>
      <c r="C84" s="11" t="inlineStr">
        <is>
          <t>Discord</t>
        </is>
      </c>
      <c r="D84" s="11" t="n"/>
      <c r="E84" s="11" t="n"/>
      <c r="F84" s="11">
        <f>IF($E84="","",IF($E84="Dead Lead","Black",IF(IF(ISNUMBER($J84),TODAY()-$J84&gt;3,FALSE),"Red",IF($E84="Reactivation Queue","Red",IF(OR($E84="First Deposit",$E84="Active"),"Green","Yellow")))))</f>
        <v/>
      </c>
      <c r="G84" s="11">
        <f>IF($F84="","",IF($F84="Red",1,IF($F84="Yellow",2,IF($F84="Green",3,4))))</f>
        <v/>
      </c>
      <c r="H84" s="14" t="n"/>
      <c r="I84" s="14" t="n"/>
      <c r="J84" s="12">
        <f>IF($E84="","",IF(AND(ISNUMBER($AD84),ISNUMBER($AE84)),MIN($AD84,$AE84),IF(ISNUMBER($AE84),$AE84,$AD84)))</f>
        <v/>
      </c>
      <c r="K84" s="11">
        <f>IF($E84="","",IF($E84="VIP Transferred",IF(N($AB84)&gt;=3,"Should be Dead Lead (3 attempts, still no deposit) - will auto-update","Day "&amp;CHOOSE(N($AB84)+1,1,2,3)&amp;" URGENT VIP check-in - help them finish KYC and lock in first deposit"),IF(AND($D84="",$E84&lt;&gt;"Dead Lead"),IF(N($T84)&gt;=3,"READY FOR DEAD LEAD (3 attempts, still no sign-up)","GET ROOBET SIGN-UP - "&amp;IFERROR(VLOOKUP($E84,Lists!$C$2:$E$20,2,FALSE),"")),IFERROR(VLOOKUP($E84,Lists!$C$2:$E$20,2,FALSE),""))))&amp;IF($AC84="Yes",IF(N($X84)&gt;=3," | VIP Team checkpoints complete - no more automatic check-ins"," | Day "&amp;CHOOSE(N($X84)+1,1,7,14)&amp;" VIP Team check-in - confirm active/depositing"),"")</f>
        <v/>
      </c>
      <c r="L84" s="11" t="n"/>
      <c r="M84" s="11" t="n"/>
      <c r="N84" s="15" t="n"/>
      <c r="O84" s="11">
        <f>IF($E84="","",IF(AND($E84="Active",$F84="Green"),"Yes","No"))</f>
        <v/>
      </c>
      <c r="P84" s="11" t="n"/>
      <c r="Q84">
        <f>IF($I84="","",ROUND(TODAY()-$I84,0))</f>
        <v/>
      </c>
      <c r="R84">
        <f>IF($B84="",0,IF(OR(AND(ISNUMBER($J84),$J84&lt;=TODAY(),$E84&lt;&gt;"Dead Lead"),AND($D84="",$E84&lt;&gt;"",$E84&lt;&gt;"Dead Lead",OR($I84="",$I84&lt;TODAY()))),1,0))</f>
        <v/>
      </c>
      <c r="S84">
        <f>IF($R84=1,SUMPRODUCT(($R$4:$R$203=1)*(($Q$4:$Q$203&gt;$Q84)+(($Q$4:$Q$203=$Q84)*(ROW($Q$4:$Q$203)&lt;ROW($Q84)))))+1,"")</f>
        <v/>
      </c>
      <c r="T84" s="11">
        <f>IF($B84="","",0)</f>
        <v/>
      </c>
      <c r="U84">
        <f>IF($B84="",0,IF($E84="Dead Lead",1,0))</f>
        <v/>
      </c>
      <c r="V84">
        <f>IF($U84=1,SUMPRODUCT(($U$4:$U$203=1)*(($J$4:$J$203&lt;$J84)+(($J$4:$J$203=$J84)*(ROW($J$4:$J$203)&lt;ROW($J84)))))+1,"")</f>
        <v/>
      </c>
      <c r="W84" s="12">
        <f>IF($B84="","","")</f>
        <v/>
      </c>
      <c r="X84" s="11">
        <f>IF($B84="","",0)</f>
        <v/>
      </c>
      <c r="Y84">
        <f>IF($B84="",0,IF(AND($R84=0,$E84&lt;&gt;"Dead Lead",ISNUMBER($J84),$J84&lt;=TODAY()+7),1,0))</f>
        <v/>
      </c>
      <c r="Z84">
        <f>IF($Y84=1,SUMPRODUCT(($Y$4:$Y$203=1)*(($J$4:$J$203&lt;$J84)+(($J$4:$J$203=$J84)*(ROW($J$4:$J$203)&lt;ROW($J84)))))+1,"")</f>
        <v/>
      </c>
      <c r="AA84" s="12">
        <f>IF($B84="","","")</f>
        <v/>
      </c>
      <c r="AB84" s="11">
        <f>IF($B84="","",0)</f>
        <v/>
      </c>
      <c r="AC84" s="11" t="n"/>
      <c r="AD84">
        <f>IF($E84="","",IF($E84="VIP Transferred",IF($AA84="","",IF(N($AB84)&gt;=3,"N/A - Closed",$AA84+CHOOSE(N($AB84)+1,1,2,3))),IF($I84="","",IF(VLOOKUP($E84,Lists!$C$2:$E$20,3,FALSE)="CLOSED","N/A - Closed",$I84+VLOOKUP($E84,Lists!$C$2:$E$20,3,FALSE)))))</f>
        <v/>
      </c>
      <c r="AE84">
        <f>IF(AND($AC84="Yes",$W84&lt;&gt;"",N($X84)&lt;3),$W84+CHOOSE(N($X84)+1,1,7,14),"")</f>
        <v/>
      </c>
      <c r="AF84" s="12">
        <f>IF($B84="","","")</f>
        <v/>
      </c>
    </row>
    <row r="85">
      <c r="A85" s="11">
        <f>IF($B85="","","YU-"&amp;TEXT(ROW()-3,"0000"))</f>
        <v/>
      </c>
      <c r="B85" s="11" t="n"/>
      <c r="C85" s="11" t="inlineStr">
        <is>
          <t>Discord</t>
        </is>
      </c>
      <c r="D85" s="11" t="n"/>
      <c r="E85" s="11" t="n"/>
      <c r="F85" s="11">
        <f>IF($E85="","",IF($E85="Dead Lead","Black",IF(IF(ISNUMBER($J85),TODAY()-$J85&gt;3,FALSE),"Red",IF($E85="Reactivation Queue","Red",IF(OR($E85="First Deposit",$E85="Active"),"Green","Yellow")))))</f>
        <v/>
      </c>
      <c r="G85" s="11">
        <f>IF($F85="","",IF($F85="Red",1,IF($F85="Yellow",2,IF($F85="Green",3,4))))</f>
        <v/>
      </c>
      <c r="H85" s="14" t="n"/>
      <c r="I85" s="14" t="n"/>
      <c r="J85" s="12">
        <f>IF($E85="","",IF(AND(ISNUMBER($AD85),ISNUMBER($AE85)),MIN($AD85,$AE85),IF(ISNUMBER($AE85),$AE85,$AD85)))</f>
        <v/>
      </c>
      <c r="K85" s="11">
        <f>IF($E85="","",IF($E85="VIP Transferred",IF(N($AB85)&gt;=3,"Should be Dead Lead (3 attempts, still no deposit) - will auto-update","Day "&amp;CHOOSE(N($AB85)+1,1,2,3)&amp;" URGENT VIP check-in - help them finish KYC and lock in first deposit"),IF(AND($D85="",$E85&lt;&gt;"Dead Lead"),IF(N($T85)&gt;=3,"READY FOR DEAD LEAD (3 attempts, still no sign-up)","GET ROOBET SIGN-UP - "&amp;IFERROR(VLOOKUP($E85,Lists!$C$2:$E$20,2,FALSE),"")),IFERROR(VLOOKUP($E85,Lists!$C$2:$E$20,2,FALSE),""))))&amp;IF($AC85="Yes",IF(N($X85)&gt;=3," | VIP Team checkpoints complete - no more automatic check-ins"," | Day "&amp;CHOOSE(N($X85)+1,1,7,14)&amp;" VIP Team check-in - confirm active/depositing"),"")</f>
        <v/>
      </c>
      <c r="L85" s="11" t="n"/>
      <c r="M85" s="11" t="n"/>
      <c r="N85" s="15" t="n"/>
      <c r="O85" s="11">
        <f>IF($E85="","",IF(AND($E85="Active",$F85="Green"),"Yes","No"))</f>
        <v/>
      </c>
      <c r="P85" s="11" t="n"/>
      <c r="Q85">
        <f>IF($I85="","",ROUND(TODAY()-$I85,0))</f>
        <v/>
      </c>
      <c r="R85">
        <f>IF($B85="",0,IF(OR(AND(ISNUMBER($J85),$J85&lt;=TODAY(),$E85&lt;&gt;"Dead Lead"),AND($D85="",$E85&lt;&gt;"",$E85&lt;&gt;"Dead Lead",OR($I85="",$I85&lt;TODAY()))),1,0))</f>
        <v/>
      </c>
      <c r="S85">
        <f>IF($R85=1,SUMPRODUCT(($R$4:$R$203=1)*(($Q$4:$Q$203&gt;$Q85)+(($Q$4:$Q$203=$Q85)*(ROW($Q$4:$Q$203)&lt;ROW($Q85)))))+1,"")</f>
        <v/>
      </c>
      <c r="T85" s="11">
        <f>IF($B85="","",0)</f>
        <v/>
      </c>
      <c r="U85">
        <f>IF($B85="",0,IF($E85="Dead Lead",1,0))</f>
        <v/>
      </c>
      <c r="V85">
        <f>IF($U85=1,SUMPRODUCT(($U$4:$U$203=1)*(($J$4:$J$203&lt;$J85)+(($J$4:$J$203=$J85)*(ROW($J$4:$J$203)&lt;ROW($J85)))))+1,"")</f>
        <v/>
      </c>
      <c r="W85" s="12">
        <f>IF($B85="","","")</f>
        <v/>
      </c>
      <c r="X85" s="11">
        <f>IF($B85="","",0)</f>
        <v/>
      </c>
      <c r="Y85">
        <f>IF($B85="",0,IF(AND($R85=0,$E85&lt;&gt;"Dead Lead",ISNUMBER($J85),$J85&lt;=TODAY()+7),1,0))</f>
        <v/>
      </c>
      <c r="Z85">
        <f>IF($Y85=1,SUMPRODUCT(($Y$4:$Y$203=1)*(($J$4:$J$203&lt;$J85)+(($J$4:$J$203=$J85)*(ROW($J$4:$J$203)&lt;ROW($J85)))))+1,"")</f>
        <v/>
      </c>
      <c r="AA85" s="12">
        <f>IF($B85="","","")</f>
        <v/>
      </c>
      <c r="AB85" s="11">
        <f>IF($B85="","",0)</f>
        <v/>
      </c>
      <c r="AC85" s="11" t="n"/>
      <c r="AD85">
        <f>IF($E85="","",IF($E85="VIP Transferred",IF($AA85="","",IF(N($AB85)&gt;=3,"N/A - Closed",$AA85+CHOOSE(N($AB85)+1,1,2,3))),IF($I85="","",IF(VLOOKUP($E85,Lists!$C$2:$E$20,3,FALSE)="CLOSED","N/A - Closed",$I85+VLOOKUP($E85,Lists!$C$2:$E$20,3,FALSE)))))</f>
        <v/>
      </c>
      <c r="AE85">
        <f>IF(AND($AC85="Yes",$W85&lt;&gt;"",N($X85)&lt;3),$W85+CHOOSE(N($X85)+1,1,7,14),"")</f>
        <v/>
      </c>
      <c r="AF85" s="12">
        <f>IF($B85="","","")</f>
        <v/>
      </c>
    </row>
    <row r="86">
      <c r="A86" s="11">
        <f>IF($B86="","","YU-"&amp;TEXT(ROW()-3,"0000"))</f>
        <v/>
      </c>
      <c r="B86" s="11" t="n"/>
      <c r="C86" s="11" t="inlineStr">
        <is>
          <t>Discord</t>
        </is>
      </c>
      <c r="D86" s="11" t="n"/>
      <c r="E86" s="11" t="n"/>
      <c r="F86" s="11">
        <f>IF($E86="","",IF($E86="Dead Lead","Black",IF(IF(ISNUMBER($J86),TODAY()-$J86&gt;3,FALSE),"Red",IF($E86="Reactivation Queue","Red",IF(OR($E86="First Deposit",$E86="Active"),"Green","Yellow")))))</f>
        <v/>
      </c>
      <c r="G86" s="11">
        <f>IF($F86="","",IF($F86="Red",1,IF($F86="Yellow",2,IF($F86="Green",3,4))))</f>
        <v/>
      </c>
      <c r="H86" s="14" t="n"/>
      <c r="I86" s="14" t="n"/>
      <c r="J86" s="12">
        <f>IF($E86="","",IF(AND(ISNUMBER($AD86),ISNUMBER($AE86)),MIN($AD86,$AE86),IF(ISNUMBER($AE86),$AE86,$AD86)))</f>
        <v/>
      </c>
      <c r="K86" s="11">
        <f>IF($E86="","",IF($E86="VIP Transferred",IF(N($AB86)&gt;=3,"Should be Dead Lead (3 attempts, still no deposit) - will auto-update","Day "&amp;CHOOSE(N($AB86)+1,1,2,3)&amp;" URGENT VIP check-in - help them finish KYC and lock in first deposit"),IF(AND($D86="",$E86&lt;&gt;"Dead Lead"),IF(N($T86)&gt;=3,"READY FOR DEAD LEAD (3 attempts, still no sign-up)","GET ROOBET SIGN-UP - "&amp;IFERROR(VLOOKUP($E86,Lists!$C$2:$E$20,2,FALSE),"")),IFERROR(VLOOKUP($E86,Lists!$C$2:$E$20,2,FALSE),""))))&amp;IF($AC86="Yes",IF(N($X86)&gt;=3," | VIP Team checkpoints complete - no more automatic check-ins"," | Day "&amp;CHOOSE(N($X86)+1,1,7,14)&amp;" VIP Team check-in - confirm active/depositing"),"")</f>
        <v/>
      </c>
      <c r="L86" s="11" t="n"/>
      <c r="M86" s="11" t="n"/>
      <c r="N86" s="15" t="n"/>
      <c r="O86" s="11">
        <f>IF($E86="","",IF(AND($E86="Active",$F86="Green"),"Yes","No"))</f>
        <v/>
      </c>
      <c r="P86" s="11" t="n"/>
      <c r="Q86">
        <f>IF($I86="","",ROUND(TODAY()-$I86,0))</f>
        <v/>
      </c>
      <c r="R86">
        <f>IF($B86="",0,IF(OR(AND(ISNUMBER($J86),$J86&lt;=TODAY(),$E86&lt;&gt;"Dead Lead"),AND($D86="",$E86&lt;&gt;"",$E86&lt;&gt;"Dead Lead",OR($I86="",$I86&lt;TODAY()))),1,0))</f>
        <v/>
      </c>
      <c r="S86">
        <f>IF($R86=1,SUMPRODUCT(($R$4:$R$203=1)*(($Q$4:$Q$203&gt;$Q86)+(($Q$4:$Q$203=$Q86)*(ROW($Q$4:$Q$203)&lt;ROW($Q86)))))+1,"")</f>
        <v/>
      </c>
      <c r="T86" s="11">
        <f>IF($B86="","",0)</f>
        <v/>
      </c>
      <c r="U86">
        <f>IF($B86="",0,IF($E86="Dead Lead",1,0))</f>
        <v/>
      </c>
      <c r="V86">
        <f>IF($U86=1,SUMPRODUCT(($U$4:$U$203=1)*(($J$4:$J$203&lt;$J86)+(($J$4:$J$203=$J86)*(ROW($J$4:$J$203)&lt;ROW($J86)))))+1,"")</f>
        <v/>
      </c>
      <c r="W86" s="12">
        <f>IF($B86="","","")</f>
        <v/>
      </c>
      <c r="X86" s="11">
        <f>IF($B86="","",0)</f>
        <v/>
      </c>
      <c r="Y86">
        <f>IF($B86="",0,IF(AND($R86=0,$E86&lt;&gt;"Dead Lead",ISNUMBER($J86),$J86&lt;=TODAY()+7),1,0))</f>
        <v/>
      </c>
      <c r="Z86">
        <f>IF($Y86=1,SUMPRODUCT(($Y$4:$Y$203=1)*(($J$4:$J$203&lt;$J86)+(($J$4:$J$203=$J86)*(ROW($J$4:$J$203)&lt;ROW($J86)))))+1,"")</f>
        <v/>
      </c>
      <c r="AA86" s="12">
        <f>IF($B86="","","")</f>
        <v/>
      </c>
      <c r="AB86" s="11">
        <f>IF($B86="","",0)</f>
        <v/>
      </c>
      <c r="AC86" s="11" t="n"/>
      <c r="AD86">
        <f>IF($E86="","",IF($E86="VIP Transferred",IF($AA86="","",IF(N($AB86)&gt;=3,"N/A - Closed",$AA86+CHOOSE(N($AB86)+1,1,2,3))),IF($I86="","",IF(VLOOKUP($E86,Lists!$C$2:$E$20,3,FALSE)="CLOSED","N/A - Closed",$I86+VLOOKUP($E86,Lists!$C$2:$E$20,3,FALSE)))))</f>
        <v/>
      </c>
      <c r="AE86">
        <f>IF(AND($AC86="Yes",$W86&lt;&gt;"",N($X86)&lt;3),$W86+CHOOSE(N($X86)+1,1,7,14),"")</f>
        <v/>
      </c>
      <c r="AF86" s="12">
        <f>IF($B86="","","")</f>
        <v/>
      </c>
    </row>
    <row r="87">
      <c r="A87" s="11">
        <f>IF($B87="","","YU-"&amp;TEXT(ROW()-3,"0000"))</f>
        <v/>
      </c>
      <c r="B87" s="11" t="n"/>
      <c r="C87" s="11" t="inlineStr">
        <is>
          <t>Discord</t>
        </is>
      </c>
      <c r="D87" s="11" t="n"/>
      <c r="E87" s="11" t="n"/>
      <c r="F87" s="11">
        <f>IF($E87="","",IF($E87="Dead Lead","Black",IF(IF(ISNUMBER($J87),TODAY()-$J87&gt;3,FALSE),"Red",IF($E87="Reactivation Queue","Red",IF(OR($E87="First Deposit",$E87="Active"),"Green","Yellow")))))</f>
        <v/>
      </c>
      <c r="G87" s="11">
        <f>IF($F87="","",IF($F87="Red",1,IF($F87="Yellow",2,IF($F87="Green",3,4))))</f>
        <v/>
      </c>
      <c r="H87" s="14" t="n"/>
      <c r="I87" s="14" t="n"/>
      <c r="J87" s="12">
        <f>IF($E87="","",IF(AND(ISNUMBER($AD87),ISNUMBER($AE87)),MIN($AD87,$AE87),IF(ISNUMBER($AE87),$AE87,$AD87)))</f>
        <v/>
      </c>
      <c r="K87" s="11">
        <f>IF($E87="","",IF($E87="VIP Transferred",IF(N($AB87)&gt;=3,"Should be Dead Lead (3 attempts, still no deposit) - will auto-update","Day "&amp;CHOOSE(N($AB87)+1,1,2,3)&amp;" URGENT VIP check-in - help them finish KYC and lock in first deposit"),IF(AND($D87="",$E87&lt;&gt;"Dead Lead"),IF(N($T87)&gt;=3,"READY FOR DEAD LEAD (3 attempts, still no sign-up)","GET ROOBET SIGN-UP - "&amp;IFERROR(VLOOKUP($E87,Lists!$C$2:$E$20,2,FALSE),"")),IFERROR(VLOOKUP($E87,Lists!$C$2:$E$20,2,FALSE),""))))&amp;IF($AC87="Yes",IF(N($X87)&gt;=3," | VIP Team checkpoints complete - no more automatic check-ins"," | Day "&amp;CHOOSE(N($X87)+1,1,7,14)&amp;" VIP Team check-in - confirm active/depositing"),"")</f>
        <v/>
      </c>
      <c r="L87" s="11" t="n"/>
      <c r="M87" s="11" t="n"/>
      <c r="N87" s="15" t="n"/>
      <c r="O87" s="11">
        <f>IF($E87="","",IF(AND($E87="Active",$F87="Green"),"Yes","No"))</f>
        <v/>
      </c>
      <c r="P87" s="11" t="n"/>
      <c r="Q87">
        <f>IF($I87="","",ROUND(TODAY()-$I87,0))</f>
        <v/>
      </c>
      <c r="R87">
        <f>IF($B87="",0,IF(OR(AND(ISNUMBER($J87),$J87&lt;=TODAY(),$E87&lt;&gt;"Dead Lead"),AND($D87="",$E87&lt;&gt;"",$E87&lt;&gt;"Dead Lead",OR($I87="",$I87&lt;TODAY()))),1,0))</f>
        <v/>
      </c>
      <c r="S87">
        <f>IF($R87=1,SUMPRODUCT(($R$4:$R$203=1)*(($Q$4:$Q$203&gt;$Q87)+(($Q$4:$Q$203=$Q87)*(ROW($Q$4:$Q$203)&lt;ROW($Q87)))))+1,"")</f>
        <v/>
      </c>
      <c r="T87" s="11">
        <f>IF($B87="","",0)</f>
        <v/>
      </c>
      <c r="U87">
        <f>IF($B87="",0,IF($E87="Dead Lead",1,0))</f>
        <v/>
      </c>
      <c r="V87">
        <f>IF($U87=1,SUMPRODUCT(($U$4:$U$203=1)*(($J$4:$J$203&lt;$J87)+(($J$4:$J$203=$J87)*(ROW($J$4:$J$203)&lt;ROW($J87)))))+1,"")</f>
        <v/>
      </c>
      <c r="W87" s="12">
        <f>IF($B87="","","")</f>
        <v/>
      </c>
      <c r="X87" s="11">
        <f>IF($B87="","",0)</f>
        <v/>
      </c>
      <c r="Y87">
        <f>IF($B87="",0,IF(AND($R87=0,$E87&lt;&gt;"Dead Lead",ISNUMBER($J87),$J87&lt;=TODAY()+7),1,0))</f>
        <v/>
      </c>
      <c r="Z87">
        <f>IF($Y87=1,SUMPRODUCT(($Y$4:$Y$203=1)*(($J$4:$J$203&lt;$J87)+(($J$4:$J$203=$J87)*(ROW($J$4:$J$203)&lt;ROW($J87)))))+1,"")</f>
        <v/>
      </c>
      <c r="AA87" s="12">
        <f>IF($B87="","","")</f>
        <v/>
      </c>
      <c r="AB87" s="11">
        <f>IF($B87="","",0)</f>
        <v/>
      </c>
      <c r="AC87" s="11" t="n"/>
      <c r="AD87">
        <f>IF($E87="","",IF($E87="VIP Transferred",IF($AA87="","",IF(N($AB87)&gt;=3,"N/A - Closed",$AA87+CHOOSE(N($AB87)+1,1,2,3))),IF($I87="","",IF(VLOOKUP($E87,Lists!$C$2:$E$20,3,FALSE)="CLOSED","N/A - Closed",$I87+VLOOKUP($E87,Lists!$C$2:$E$20,3,FALSE)))))</f>
        <v/>
      </c>
      <c r="AE87">
        <f>IF(AND($AC87="Yes",$W87&lt;&gt;"",N($X87)&lt;3),$W87+CHOOSE(N($X87)+1,1,7,14),"")</f>
        <v/>
      </c>
      <c r="AF87" s="12">
        <f>IF($B87="","","")</f>
        <v/>
      </c>
    </row>
    <row r="88">
      <c r="A88" s="11">
        <f>IF($B88="","","YU-"&amp;TEXT(ROW()-3,"0000"))</f>
        <v/>
      </c>
      <c r="B88" s="11" t="n"/>
      <c r="C88" s="11" t="inlineStr">
        <is>
          <t>Discord</t>
        </is>
      </c>
      <c r="D88" s="11" t="n"/>
      <c r="E88" s="11" t="n"/>
      <c r="F88" s="11">
        <f>IF($E88="","",IF($E88="Dead Lead","Black",IF(IF(ISNUMBER($J88),TODAY()-$J88&gt;3,FALSE),"Red",IF($E88="Reactivation Queue","Red",IF(OR($E88="First Deposit",$E88="Active"),"Green","Yellow")))))</f>
        <v/>
      </c>
      <c r="G88" s="11">
        <f>IF($F88="","",IF($F88="Red",1,IF($F88="Yellow",2,IF($F88="Green",3,4))))</f>
        <v/>
      </c>
      <c r="H88" s="14" t="n"/>
      <c r="I88" s="14" t="n"/>
      <c r="J88" s="12">
        <f>IF($E88="","",IF(AND(ISNUMBER($AD88),ISNUMBER($AE88)),MIN($AD88,$AE88),IF(ISNUMBER($AE88),$AE88,$AD88)))</f>
        <v/>
      </c>
      <c r="K88" s="11">
        <f>IF($E88="","",IF($E88="VIP Transferred",IF(N($AB88)&gt;=3,"Should be Dead Lead (3 attempts, still no deposit) - will auto-update","Day "&amp;CHOOSE(N($AB88)+1,1,2,3)&amp;" URGENT VIP check-in - help them finish KYC and lock in first deposit"),IF(AND($D88="",$E88&lt;&gt;"Dead Lead"),IF(N($T88)&gt;=3,"READY FOR DEAD LEAD (3 attempts, still no sign-up)","GET ROOBET SIGN-UP - "&amp;IFERROR(VLOOKUP($E88,Lists!$C$2:$E$20,2,FALSE),"")),IFERROR(VLOOKUP($E88,Lists!$C$2:$E$20,2,FALSE),""))))&amp;IF($AC88="Yes",IF(N($X88)&gt;=3," | VIP Team checkpoints complete - no more automatic check-ins"," | Day "&amp;CHOOSE(N($X88)+1,1,7,14)&amp;" VIP Team check-in - confirm active/depositing"),"")</f>
        <v/>
      </c>
      <c r="L88" s="11" t="n"/>
      <c r="M88" s="11" t="n"/>
      <c r="N88" s="15" t="n"/>
      <c r="O88" s="11">
        <f>IF($E88="","",IF(AND($E88="Active",$F88="Green"),"Yes","No"))</f>
        <v/>
      </c>
      <c r="P88" s="11" t="n"/>
      <c r="Q88">
        <f>IF($I88="","",ROUND(TODAY()-$I88,0))</f>
        <v/>
      </c>
      <c r="R88">
        <f>IF($B88="",0,IF(OR(AND(ISNUMBER($J88),$J88&lt;=TODAY(),$E88&lt;&gt;"Dead Lead"),AND($D88="",$E88&lt;&gt;"",$E88&lt;&gt;"Dead Lead",OR($I88="",$I88&lt;TODAY()))),1,0))</f>
        <v/>
      </c>
      <c r="S88">
        <f>IF($R88=1,SUMPRODUCT(($R$4:$R$203=1)*(($Q$4:$Q$203&gt;$Q88)+(($Q$4:$Q$203=$Q88)*(ROW($Q$4:$Q$203)&lt;ROW($Q88)))))+1,"")</f>
        <v/>
      </c>
      <c r="T88" s="11">
        <f>IF($B88="","",0)</f>
        <v/>
      </c>
      <c r="U88">
        <f>IF($B88="",0,IF($E88="Dead Lead",1,0))</f>
        <v/>
      </c>
      <c r="V88">
        <f>IF($U88=1,SUMPRODUCT(($U$4:$U$203=1)*(($J$4:$J$203&lt;$J88)+(($J$4:$J$203=$J88)*(ROW($J$4:$J$203)&lt;ROW($J88)))))+1,"")</f>
        <v/>
      </c>
      <c r="W88" s="12">
        <f>IF($B88="","","")</f>
        <v/>
      </c>
      <c r="X88" s="11">
        <f>IF($B88="","",0)</f>
        <v/>
      </c>
      <c r="Y88">
        <f>IF($B88="",0,IF(AND($R88=0,$E88&lt;&gt;"Dead Lead",ISNUMBER($J88),$J88&lt;=TODAY()+7),1,0))</f>
        <v/>
      </c>
      <c r="Z88">
        <f>IF($Y88=1,SUMPRODUCT(($Y$4:$Y$203=1)*(($J$4:$J$203&lt;$J88)+(($J$4:$J$203=$J88)*(ROW($J$4:$J$203)&lt;ROW($J88)))))+1,"")</f>
        <v/>
      </c>
      <c r="AA88" s="12">
        <f>IF($B88="","","")</f>
        <v/>
      </c>
      <c r="AB88" s="11">
        <f>IF($B88="","",0)</f>
        <v/>
      </c>
      <c r="AC88" s="11" t="n"/>
      <c r="AD88">
        <f>IF($E88="","",IF($E88="VIP Transferred",IF($AA88="","",IF(N($AB88)&gt;=3,"N/A - Closed",$AA88+CHOOSE(N($AB88)+1,1,2,3))),IF($I88="","",IF(VLOOKUP($E88,Lists!$C$2:$E$20,3,FALSE)="CLOSED","N/A - Closed",$I88+VLOOKUP($E88,Lists!$C$2:$E$20,3,FALSE)))))</f>
        <v/>
      </c>
      <c r="AE88">
        <f>IF(AND($AC88="Yes",$W88&lt;&gt;"",N($X88)&lt;3),$W88+CHOOSE(N($X88)+1,1,7,14),"")</f>
        <v/>
      </c>
      <c r="AF88" s="12">
        <f>IF($B88="","","")</f>
        <v/>
      </c>
    </row>
    <row r="89">
      <c r="A89" s="11">
        <f>IF($B89="","","YU-"&amp;TEXT(ROW()-3,"0000"))</f>
        <v/>
      </c>
      <c r="B89" s="11" t="n"/>
      <c r="C89" s="11" t="inlineStr">
        <is>
          <t>Discord</t>
        </is>
      </c>
      <c r="D89" s="11" t="n"/>
      <c r="E89" s="11" t="n"/>
      <c r="F89" s="11">
        <f>IF($E89="","",IF($E89="Dead Lead","Black",IF(IF(ISNUMBER($J89),TODAY()-$J89&gt;3,FALSE),"Red",IF($E89="Reactivation Queue","Red",IF(OR($E89="First Deposit",$E89="Active"),"Green","Yellow")))))</f>
        <v/>
      </c>
      <c r="G89" s="11">
        <f>IF($F89="","",IF($F89="Red",1,IF($F89="Yellow",2,IF($F89="Green",3,4))))</f>
        <v/>
      </c>
      <c r="H89" s="14" t="n"/>
      <c r="I89" s="14" t="n"/>
      <c r="J89" s="12">
        <f>IF($E89="","",IF(AND(ISNUMBER($AD89),ISNUMBER($AE89)),MIN($AD89,$AE89),IF(ISNUMBER($AE89),$AE89,$AD89)))</f>
        <v/>
      </c>
      <c r="K89" s="11">
        <f>IF($E89="","",IF($E89="VIP Transferred",IF(N($AB89)&gt;=3,"Should be Dead Lead (3 attempts, still no deposit) - will auto-update","Day "&amp;CHOOSE(N($AB89)+1,1,2,3)&amp;" URGENT VIP check-in - help them finish KYC and lock in first deposit"),IF(AND($D89="",$E89&lt;&gt;"Dead Lead"),IF(N($T89)&gt;=3,"READY FOR DEAD LEAD (3 attempts, still no sign-up)","GET ROOBET SIGN-UP - "&amp;IFERROR(VLOOKUP($E89,Lists!$C$2:$E$20,2,FALSE),"")),IFERROR(VLOOKUP($E89,Lists!$C$2:$E$20,2,FALSE),""))))&amp;IF($AC89="Yes",IF(N($X89)&gt;=3," | VIP Team checkpoints complete - no more automatic check-ins"," | Day "&amp;CHOOSE(N($X89)+1,1,7,14)&amp;" VIP Team check-in - confirm active/depositing"),"")</f>
        <v/>
      </c>
      <c r="L89" s="11" t="n"/>
      <c r="M89" s="11" t="n"/>
      <c r="N89" s="15" t="n"/>
      <c r="O89" s="11">
        <f>IF($E89="","",IF(AND($E89="Active",$F89="Green"),"Yes","No"))</f>
        <v/>
      </c>
      <c r="P89" s="11" t="n"/>
      <c r="Q89">
        <f>IF($I89="","",ROUND(TODAY()-$I89,0))</f>
        <v/>
      </c>
      <c r="R89">
        <f>IF($B89="",0,IF(OR(AND(ISNUMBER($J89),$J89&lt;=TODAY(),$E89&lt;&gt;"Dead Lead"),AND($D89="",$E89&lt;&gt;"",$E89&lt;&gt;"Dead Lead",OR($I89="",$I89&lt;TODAY()))),1,0))</f>
        <v/>
      </c>
      <c r="S89">
        <f>IF($R89=1,SUMPRODUCT(($R$4:$R$203=1)*(($Q$4:$Q$203&gt;$Q89)+(($Q$4:$Q$203=$Q89)*(ROW($Q$4:$Q$203)&lt;ROW($Q89)))))+1,"")</f>
        <v/>
      </c>
      <c r="T89" s="11">
        <f>IF($B89="","",0)</f>
        <v/>
      </c>
      <c r="U89">
        <f>IF($B89="",0,IF($E89="Dead Lead",1,0))</f>
        <v/>
      </c>
      <c r="V89">
        <f>IF($U89=1,SUMPRODUCT(($U$4:$U$203=1)*(($J$4:$J$203&lt;$J89)+(($J$4:$J$203=$J89)*(ROW($J$4:$J$203)&lt;ROW($J89)))))+1,"")</f>
        <v/>
      </c>
      <c r="W89" s="12">
        <f>IF($B89="","","")</f>
        <v/>
      </c>
      <c r="X89" s="11">
        <f>IF($B89="","",0)</f>
        <v/>
      </c>
      <c r="Y89">
        <f>IF($B89="",0,IF(AND($R89=0,$E89&lt;&gt;"Dead Lead",ISNUMBER($J89),$J89&lt;=TODAY()+7),1,0))</f>
        <v/>
      </c>
      <c r="Z89">
        <f>IF($Y89=1,SUMPRODUCT(($Y$4:$Y$203=1)*(($J$4:$J$203&lt;$J89)+(($J$4:$J$203=$J89)*(ROW($J$4:$J$203)&lt;ROW($J89)))))+1,"")</f>
        <v/>
      </c>
      <c r="AA89" s="12">
        <f>IF($B89="","","")</f>
        <v/>
      </c>
      <c r="AB89" s="11">
        <f>IF($B89="","",0)</f>
        <v/>
      </c>
      <c r="AC89" s="11" t="n"/>
      <c r="AD89">
        <f>IF($E89="","",IF($E89="VIP Transferred",IF($AA89="","",IF(N($AB89)&gt;=3,"N/A - Closed",$AA89+CHOOSE(N($AB89)+1,1,2,3))),IF($I89="","",IF(VLOOKUP($E89,Lists!$C$2:$E$20,3,FALSE)="CLOSED","N/A - Closed",$I89+VLOOKUP($E89,Lists!$C$2:$E$20,3,FALSE)))))</f>
        <v/>
      </c>
      <c r="AE89">
        <f>IF(AND($AC89="Yes",$W89&lt;&gt;"",N($X89)&lt;3),$W89+CHOOSE(N($X89)+1,1,7,14),"")</f>
        <v/>
      </c>
      <c r="AF89" s="12">
        <f>IF($B89="","","")</f>
        <v/>
      </c>
    </row>
    <row r="90">
      <c r="A90" s="11">
        <f>IF($B90="","","YU-"&amp;TEXT(ROW()-3,"0000"))</f>
        <v/>
      </c>
      <c r="B90" s="11" t="n"/>
      <c r="C90" s="11" t="inlineStr">
        <is>
          <t>Discord</t>
        </is>
      </c>
      <c r="D90" s="11" t="n"/>
      <c r="E90" s="11" t="n"/>
      <c r="F90" s="11">
        <f>IF($E90="","",IF($E90="Dead Lead","Black",IF(IF(ISNUMBER($J90),TODAY()-$J90&gt;3,FALSE),"Red",IF($E90="Reactivation Queue","Red",IF(OR($E90="First Deposit",$E90="Active"),"Green","Yellow")))))</f>
        <v/>
      </c>
      <c r="G90" s="11">
        <f>IF($F90="","",IF($F90="Red",1,IF($F90="Yellow",2,IF($F90="Green",3,4))))</f>
        <v/>
      </c>
      <c r="H90" s="14" t="n"/>
      <c r="I90" s="14" t="n"/>
      <c r="J90" s="12">
        <f>IF($E90="","",IF(AND(ISNUMBER($AD90),ISNUMBER($AE90)),MIN($AD90,$AE90),IF(ISNUMBER($AE90),$AE90,$AD90)))</f>
        <v/>
      </c>
      <c r="K90" s="11">
        <f>IF($E90="","",IF($E90="VIP Transferred",IF(N($AB90)&gt;=3,"Should be Dead Lead (3 attempts, still no deposit) - will auto-update","Day "&amp;CHOOSE(N($AB90)+1,1,2,3)&amp;" URGENT VIP check-in - help them finish KYC and lock in first deposit"),IF(AND($D90="",$E90&lt;&gt;"Dead Lead"),IF(N($T90)&gt;=3,"READY FOR DEAD LEAD (3 attempts, still no sign-up)","GET ROOBET SIGN-UP - "&amp;IFERROR(VLOOKUP($E90,Lists!$C$2:$E$20,2,FALSE),"")),IFERROR(VLOOKUP($E90,Lists!$C$2:$E$20,2,FALSE),""))))&amp;IF($AC90="Yes",IF(N($X90)&gt;=3," | VIP Team checkpoints complete - no more automatic check-ins"," | Day "&amp;CHOOSE(N($X90)+1,1,7,14)&amp;" VIP Team check-in - confirm active/depositing"),"")</f>
        <v/>
      </c>
      <c r="L90" s="11" t="n"/>
      <c r="M90" s="11" t="n"/>
      <c r="N90" s="15" t="n"/>
      <c r="O90" s="11">
        <f>IF($E90="","",IF(AND($E90="Active",$F90="Green"),"Yes","No"))</f>
        <v/>
      </c>
      <c r="P90" s="11" t="n"/>
      <c r="Q90">
        <f>IF($I90="","",ROUND(TODAY()-$I90,0))</f>
        <v/>
      </c>
      <c r="R90">
        <f>IF($B90="",0,IF(OR(AND(ISNUMBER($J90),$J90&lt;=TODAY(),$E90&lt;&gt;"Dead Lead"),AND($D90="",$E90&lt;&gt;"",$E90&lt;&gt;"Dead Lead",OR($I90="",$I90&lt;TODAY()))),1,0))</f>
        <v/>
      </c>
      <c r="S90">
        <f>IF($R90=1,SUMPRODUCT(($R$4:$R$203=1)*(($Q$4:$Q$203&gt;$Q90)+(($Q$4:$Q$203=$Q90)*(ROW($Q$4:$Q$203)&lt;ROW($Q90)))))+1,"")</f>
        <v/>
      </c>
      <c r="T90" s="11">
        <f>IF($B90="","",0)</f>
        <v/>
      </c>
      <c r="U90">
        <f>IF($B90="",0,IF($E90="Dead Lead",1,0))</f>
        <v/>
      </c>
      <c r="V90">
        <f>IF($U90=1,SUMPRODUCT(($U$4:$U$203=1)*(($J$4:$J$203&lt;$J90)+(($J$4:$J$203=$J90)*(ROW($J$4:$J$203)&lt;ROW($J90)))))+1,"")</f>
        <v/>
      </c>
      <c r="W90" s="12">
        <f>IF($B90="","","")</f>
        <v/>
      </c>
      <c r="X90" s="11">
        <f>IF($B90="","",0)</f>
        <v/>
      </c>
      <c r="Y90">
        <f>IF($B90="",0,IF(AND($R90=0,$E90&lt;&gt;"Dead Lead",ISNUMBER($J90),$J90&lt;=TODAY()+7),1,0))</f>
        <v/>
      </c>
      <c r="Z90">
        <f>IF($Y90=1,SUMPRODUCT(($Y$4:$Y$203=1)*(($J$4:$J$203&lt;$J90)+(($J$4:$J$203=$J90)*(ROW($J$4:$J$203)&lt;ROW($J90)))))+1,"")</f>
        <v/>
      </c>
      <c r="AA90" s="12">
        <f>IF($B90="","","")</f>
        <v/>
      </c>
      <c r="AB90" s="11">
        <f>IF($B90="","",0)</f>
        <v/>
      </c>
      <c r="AC90" s="11" t="n"/>
      <c r="AD90">
        <f>IF($E90="","",IF($E90="VIP Transferred",IF($AA90="","",IF(N($AB90)&gt;=3,"N/A - Closed",$AA90+CHOOSE(N($AB90)+1,1,2,3))),IF($I90="","",IF(VLOOKUP($E90,Lists!$C$2:$E$20,3,FALSE)="CLOSED","N/A - Closed",$I90+VLOOKUP($E90,Lists!$C$2:$E$20,3,FALSE)))))</f>
        <v/>
      </c>
      <c r="AE90">
        <f>IF(AND($AC90="Yes",$W90&lt;&gt;"",N($X90)&lt;3),$W90+CHOOSE(N($X90)+1,1,7,14),"")</f>
        <v/>
      </c>
      <c r="AF90" s="12">
        <f>IF($B90="","","")</f>
        <v/>
      </c>
    </row>
    <row r="91">
      <c r="A91" s="11">
        <f>IF($B91="","","YU-"&amp;TEXT(ROW()-3,"0000"))</f>
        <v/>
      </c>
      <c r="B91" s="11" t="n"/>
      <c r="C91" s="11" t="inlineStr">
        <is>
          <t>Discord</t>
        </is>
      </c>
      <c r="D91" s="11" t="n"/>
      <c r="E91" s="11" t="n"/>
      <c r="F91" s="11">
        <f>IF($E91="","",IF($E91="Dead Lead","Black",IF(IF(ISNUMBER($J91),TODAY()-$J91&gt;3,FALSE),"Red",IF($E91="Reactivation Queue","Red",IF(OR($E91="First Deposit",$E91="Active"),"Green","Yellow")))))</f>
        <v/>
      </c>
      <c r="G91" s="11">
        <f>IF($F91="","",IF($F91="Red",1,IF($F91="Yellow",2,IF($F91="Green",3,4))))</f>
        <v/>
      </c>
      <c r="H91" s="14" t="n"/>
      <c r="I91" s="14" t="n"/>
      <c r="J91" s="12">
        <f>IF($E91="","",IF(AND(ISNUMBER($AD91),ISNUMBER($AE91)),MIN($AD91,$AE91),IF(ISNUMBER($AE91),$AE91,$AD91)))</f>
        <v/>
      </c>
      <c r="K91" s="11">
        <f>IF($E91="","",IF($E91="VIP Transferred",IF(N($AB91)&gt;=3,"Should be Dead Lead (3 attempts, still no deposit) - will auto-update","Day "&amp;CHOOSE(N($AB91)+1,1,2,3)&amp;" URGENT VIP check-in - help them finish KYC and lock in first deposit"),IF(AND($D91="",$E91&lt;&gt;"Dead Lead"),IF(N($T91)&gt;=3,"READY FOR DEAD LEAD (3 attempts, still no sign-up)","GET ROOBET SIGN-UP - "&amp;IFERROR(VLOOKUP($E91,Lists!$C$2:$E$20,2,FALSE),"")),IFERROR(VLOOKUP($E91,Lists!$C$2:$E$20,2,FALSE),""))))&amp;IF($AC91="Yes",IF(N($X91)&gt;=3," | VIP Team checkpoints complete - no more automatic check-ins"," | Day "&amp;CHOOSE(N($X91)+1,1,7,14)&amp;" VIP Team check-in - confirm active/depositing"),"")</f>
        <v/>
      </c>
      <c r="L91" s="11" t="n"/>
      <c r="M91" s="11" t="n"/>
      <c r="N91" s="15" t="n"/>
      <c r="O91" s="11">
        <f>IF($E91="","",IF(AND($E91="Active",$F91="Green"),"Yes","No"))</f>
        <v/>
      </c>
      <c r="P91" s="11" t="n"/>
      <c r="Q91">
        <f>IF($I91="","",ROUND(TODAY()-$I91,0))</f>
        <v/>
      </c>
      <c r="R91">
        <f>IF($B91="",0,IF(OR(AND(ISNUMBER($J91),$J91&lt;=TODAY(),$E91&lt;&gt;"Dead Lead"),AND($D91="",$E91&lt;&gt;"",$E91&lt;&gt;"Dead Lead",OR($I91="",$I91&lt;TODAY()))),1,0))</f>
        <v/>
      </c>
      <c r="S91">
        <f>IF($R91=1,SUMPRODUCT(($R$4:$R$203=1)*(($Q$4:$Q$203&gt;$Q91)+(($Q$4:$Q$203=$Q91)*(ROW($Q$4:$Q$203)&lt;ROW($Q91)))))+1,"")</f>
        <v/>
      </c>
      <c r="T91" s="11">
        <f>IF($B91="","",0)</f>
        <v/>
      </c>
      <c r="U91">
        <f>IF($B91="",0,IF($E91="Dead Lead",1,0))</f>
        <v/>
      </c>
      <c r="V91">
        <f>IF($U91=1,SUMPRODUCT(($U$4:$U$203=1)*(($J$4:$J$203&lt;$J91)+(($J$4:$J$203=$J91)*(ROW($J$4:$J$203)&lt;ROW($J91)))))+1,"")</f>
        <v/>
      </c>
      <c r="W91" s="12">
        <f>IF($B91="","","")</f>
        <v/>
      </c>
      <c r="X91" s="11">
        <f>IF($B91="","",0)</f>
        <v/>
      </c>
      <c r="Y91">
        <f>IF($B91="",0,IF(AND($R91=0,$E91&lt;&gt;"Dead Lead",ISNUMBER($J91),$J91&lt;=TODAY()+7),1,0))</f>
        <v/>
      </c>
      <c r="Z91">
        <f>IF($Y91=1,SUMPRODUCT(($Y$4:$Y$203=1)*(($J$4:$J$203&lt;$J91)+(($J$4:$J$203=$J91)*(ROW($J$4:$J$203)&lt;ROW($J91)))))+1,"")</f>
        <v/>
      </c>
      <c r="AA91" s="12">
        <f>IF($B91="","","")</f>
        <v/>
      </c>
      <c r="AB91" s="11">
        <f>IF($B91="","",0)</f>
        <v/>
      </c>
      <c r="AC91" s="11" t="n"/>
      <c r="AD91">
        <f>IF($E91="","",IF($E91="VIP Transferred",IF($AA91="","",IF(N($AB91)&gt;=3,"N/A - Closed",$AA91+CHOOSE(N($AB91)+1,1,2,3))),IF($I91="","",IF(VLOOKUP($E91,Lists!$C$2:$E$20,3,FALSE)="CLOSED","N/A - Closed",$I91+VLOOKUP($E91,Lists!$C$2:$E$20,3,FALSE)))))</f>
        <v/>
      </c>
      <c r="AE91">
        <f>IF(AND($AC91="Yes",$W91&lt;&gt;"",N($X91)&lt;3),$W91+CHOOSE(N($X91)+1,1,7,14),"")</f>
        <v/>
      </c>
      <c r="AF91" s="12">
        <f>IF($B91="","","")</f>
        <v/>
      </c>
    </row>
    <row r="92">
      <c r="A92" s="11">
        <f>IF($B92="","","YU-"&amp;TEXT(ROW()-3,"0000"))</f>
        <v/>
      </c>
      <c r="B92" s="11" t="n"/>
      <c r="C92" s="11" t="inlineStr">
        <is>
          <t>Discord</t>
        </is>
      </c>
      <c r="D92" s="11" t="n"/>
      <c r="E92" s="11" t="n"/>
      <c r="F92" s="11">
        <f>IF($E92="","",IF($E92="Dead Lead","Black",IF(IF(ISNUMBER($J92),TODAY()-$J92&gt;3,FALSE),"Red",IF($E92="Reactivation Queue","Red",IF(OR($E92="First Deposit",$E92="Active"),"Green","Yellow")))))</f>
        <v/>
      </c>
      <c r="G92" s="11">
        <f>IF($F92="","",IF($F92="Red",1,IF($F92="Yellow",2,IF($F92="Green",3,4))))</f>
        <v/>
      </c>
      <c r="H92" s="14" t="n"/>
      <c r="I92" s="14" t="n"/>
      <c r="J92" s="12">
        <f>IF($E92="","",IF(AND(ISNUMBER($AD92),ISNUMBER($AE92)),MIN($AD92,$AE92),IF(ISNUMBER($AE92),$AE92,$AD92)))</f>
        <v/>
      </c>
      <c r="K92" s="11">
        <f>IF($E92="","",IF($E92="VIP Transferred",IF(N($AB92)&gt;=3,"Should be Dead Lead (3 attempts, still no deposit) - will auto-update","Day "&amp;CHOOSE(N($AB92)+1,1,2,3)&amp;" URGENT VIP check-in - help them finish KYC and lock in first deposit"),IF(AND($D92="",$E92&lt;&gt;"Dead Lead"),IF(N($T92)&gt;=3,"READY FOR DEAD LEAD (3 attempts, still no sign-up)","GET ROOBET SIGN-UP - "&amp;IFERROR(VLOOKUP($E92,Lists!$C$2:$E$20,2,FALSE),"")),IFERROR(VLOOKUP($E92,Lists!$C$2:$E$20,2,FALSE),""))))&amp;IF($AC92="Yes",IF(N($X92)&gt;=3," | VIP Team checkpoints complete - no more automatic check-ins"," | Day "&amp;CHOOSE(N($X92)+1,1,7,14)&amp;" VIP Team check-in - confirm active/depositing"),"")</f>
        <v/>
      </c>
      <c r="L92" s="11" t="n"/>
      <c r="M92" s="11" t="n"/>
      <c r="N92" s="15" t="n"/>
      <c r="O92" s="11">
        <f>IF($E92="","",IF(AND($E92="Active",$F92="Green"),"Yes","No"))</f>
        <v/>
      </c>
      <c r="P92" s="11" t="n"/>
      <c r="Q92">
        <f>IF($I92="","",ROUND(TODAY()-$I92,0))</f>
        <v/>
      </c>
      <c r="R92">
        <f>IF($B92="",0,IF(OR(AND(ISNUMBER($J92),$J92&lt;=TODAY(),$E92&lt;&gt;"Dead Lead"),AND($D92="",$E92&lt;&gt;"",$E92&lt;&gt;"Dead Lead",OR($I92="",$I92&lt;TODAY()))),1,0))</f>
        <v/>
      </c>
      <c r="S92">
        <f>IF($R92=1,SUMPRODUCT(($R$4:$R$203=1)*(($Q$4:$Q$203&gt;$Q92)+(($Q$4:$Q$203=$Q92)*(ROW($Q$4:$Q$203)&lt;ROW($Q92)))))+1,"")</f>
        <v/>
      </c>
      <c r="T92" s="11">
        <f>IF($B92="","",0)</f>
        <v/>
      </c>
      <c r="U92">
        <f>IF($B92="",0,IF($E92="Dead Lead",1,0))</f>
        <v/>
      </c>
      <c r="V92">
        <f>IF($U92=1,SUMPRODUCT(($U$4:$U$203=1)*(($J$4:$J$203&lt;$J92)+(($J$4:$J$203=$J92)*(ROW($J$4:$J$203)&lt;ROW($J92)))))+1,"")</f>
        <v/>
      </c>
      <c r="W92" s="12">
        <f>IF($B92="","","")</f>
        <v/>
      </c>
      <c r="X92" s="11">
        <f>IF($B92="","",0)</f>
        <v/>
      </c>
      <c r="Y92">
        <f>IF($B92="",0,IF(AND($R92=0,$E92&lt;&gt;"Dead Lead",ISNUMBER($J92),$J92&lt;=TODAY()+7),1,0))</f>
        <v/>
      </c>
      <c r="Z92">
        <f>IF($Y92=1,SUMPRODUCT(($Y$4:$Y$203=1)*(($J$4:$J$203&lt;$J92)+(($J$4:$J$203=$J92)*(ROW($J$4:$J$203)&lt;ROW($J92)))))+1,"")</f>
        <v/>
      </c>
      <c r="AA92" s="12">
        <f>IF($B92="","","")</f>
        <v/>
      </c>
      <c r="AB92" s="11">
        <f>IF($B92="","",0)</f>
        <v/>
      </c>
      <c r="AC92" s="11" t="n"/>
      <c r="AD92">
        <f>IF($E92="","",IF($E92="VIP Transferred",IF($AA92="","",IF(N($AB92)&gt;=3,"N/A - Closed",$AA92+CHOOSE(N($AB92)+1,1,2,3))),IF($I92="","",IF(VLOOKUP($E92,Lists!$C$2:$E$20,3,FALSE)="CLOSED","N/A - Closed",$I92+VLOOKUP($E92,Lists!$C$2:$E$20,3,FALSE)))))</f>
        <v/>
      </c>
      <c r="AE92">
        <f>IF(AND($AC92="Yes",$W92&lt;&gt;"",N($X92)&lt;3),$W92+CHOOSE(N($X92)+1,1,7,14),"")</f>
        <v/>
      </c>
      <c r="AF92" s="12">
        <f>IF($B92="","","")</f>
        <v/>
      </c>
    </row>
    <row r="93">
      <c r="A93" s="11">
        <f>IF($B93="","","YU-"&amp;TEXT(ROW()-3,"0000"))</f>
        <v/>
      </c>
      <c r="B93" s="11" t="n"/>
      <c r="C93" s="11" t="inlineStr">
        <is>
          <t>Discord</t>
        </is>
      </c>
      <c r="D93" s="11" t="n"/>
      <c r="E93" s="11" t="n"/>
      <c r="F93" s="11">
        <f>IF($E93="","",IF($E93="Dead Lead","Black",IF(IF(ISNUMBER($J93),TODAY()-$J93&gt;3,FALSE),"Red",IF($E93="Reactivation Queue","Red",IF(OR($E93="First Deposit",$E93="Active"),"Green","Yellow")))))</f>
        <v/>
      </c>
      <c r="G93" s="11">
        <f>IF($F93="","",IF($F93="Red",1,IF($F93="Yellow",2,IF($F93="Green",3,4))))</f>
        <v/>
      </c>
      <c r="H93" s="14" t="n"/>
      <c r="I93" s="14" t="n"/>
      <c r="J93" s="12">
        <f>IF($E93="","",IF(AND(ISNUMBER($AD93),ISNUMBER($AE93)),MIN($AD93,$AE93),IF(ISNUMBER($AE93),$AE93,$AD93)))</f>
        <v/>
      </c>
      <c r="K93" s="11">
        <f>IF($E93="","",IF($E93="VIP Transferred",IF(N($AB93)&gt;=3,"Should be Dead Lead (3 attempts, still no deposit) - will auto-update","Day "&amp;CHOOSE(N($AB93)+1,1,2,3)&amp;" URGENT VIP check-in - help them finish KYC and lock in first deposit"),IF(AND($D93="",$E93&lt;&gt;"Dead Lead"),IF(N($T93)&gt;=3,"READY FOR DEAD LEAD (3 attempts, still no sign-up)","GET ROOBET SIGN-UP - "&amp;IFERROR(VLOOKUP($E93,Lists!$C$2:$E$20,2,FALSE),"")),IFERROR(VLOOKUP($E93,Lists!$C$2:$E$20,2,FALSE),""))))&amp;IF($AC93="Yes",IF(N($X93)&gt;=3," | VIP Team checkpoints complete - no more automatic check-ins"," | Day "&amp;CHOOSE(N($X93)+1,1,7,14)&amp;" VIP Team check-in - confirm active/depositing"),"")</f>
        <v/>
      </c>
      <c r="L93" s="11" t="n"/>
      <c r="M93" s="11" t="n"/>
      <c r="N93" s="15" t="n"/>
      <c r="O93" s="11">
        <f>IF($E93="","",IF(AND($E93="Active",$F93="Green"),"Yes","No"))</f>
        <v/>
      </c>
      <c r="P93" s="11" t="n"/>
      <c r="Q93">
        <f>IF($I93="","",ROUND(TODAY()-$I93,0))</f>
        <v/>
      </c>
      <c r="R93">
        <f>IF($B93="",0,IF(OR(AND(ISNUMBER($J93),$J93&lt;=TODAY(),$E93&lt;&gt;"Dead Lead"),AND($D93="",$E93&lt;&gt;"",$E93&lt;&gt;"Dead Lead",OR($I93="",$I93&lt;TODAY()))),1,0))</f>
        <v/>
      </c>
      <c r="S93">
        <f>IF($R93=1,SUMPRODUCT(($R$4:$R$203=1)*(($Q$4:$Q$203&gt;$Q93)+(($Q$4:$Q$203=$Q93)*(ROW($Q$4:$Q$203)&lt;ROW($Q93)))))+1,"")</f>
        <v/>
      </c>
      <c r="T93" s="11">
        <f>IF($B93="","",0)</f>
        <v/>
      </c>
      <c r="U93">
        <f>IF($B93="",0,IF($E93="Dead Lead",1,0))</f>
        <v/>
      </c>
      <c r="V93">
        <f>IF($U93=1,SUMPRODUCT(($U$4:$U$203=1)*(($J$4:$J$203&lt;$J93)+(($J$4:$J$203=$J93)*(ROW($J$4:$J$203)&lt;ROW($J93)))))+1,"")</f>
        <v/>
      </c>
      <c r="W93" s="12">
        <f>IF($B93="","","")</f>
        <v/>
      </c>
      <c r="X93" s="11">
        <f>IF($B93="","",0)</f>
        <v/>
      </c>
      <c r="Y93">
        <f>IF($B93="",0,IF(AND($R93=0,$E93&lt;&gt;"Dead Lead",ISNUMBER($J93),$J93&lt;=TODAY()+7),1,0))</f>
        <v/>
      </c>
      <c r="Z93">
        <f>IF($Y93=1,SUMPRODUCT(($Y$4:$Y$203=1)*(($J$4:$J$203&lt;$J93)+(($J$4:$J$203=$J93)*(ROW($J$4:$J$203)&lt;ROW($J93)))))+1,"")</f>
        <v/>
      </c>
      <c r="AA93" s="12">
        <f>IF($B93="","","")</f>
        <v/>
      </c>
      <c r="AB93" s="11">
        <f>IF($B93="","",0)</f>
        <v/>
      </c>
      <c r="AC93" s="11" t="n"/>
      <c r="AD93">
        <f>IF($E93="","",IF($E93="VIP Transferred",IF($AA93="","",IF(N($AB93)&gt;=3,"N/A - Closed",$AA93+CHOOSE(N($AB93)+1,1,2,3))),IF($I93="","",IF(VLOOKUP($E93,Lists!$C$2:$E$20,3,FALSE)="CLOSED","N/A - Closed",$I93+VLOOKUP($E93,Lists!$C$2:$E$20,3,FALSE)))))</f>
        <v/>
      </c>
      <c r="AE93">
        <f>IF(AND($AC93="Yes",$W93&lt;&gt;"",N($X93)&lt;3),$W93+CHOOSE(N($X93)+1,1,7,14),"")</f>
        <v/>
      </c>
      <c r="AF93" s="12">
        <f>IF($B93="","","")</f>
        <v/>
      </c>
    </row>
    <row r="94">
      <c r="A94" s="11">
        <f>IF($B94="","","YU-"&amp;TEXT(ROW()-3,"0000"))</f>
        <v/>
      </c>
      <c r="B94" s="11" t="n"/>
      <c r="C94" s="11" t="inlineStr">
        <is>
          <t>Discord</t>
        </is>
      </c>
      <c r="D94" s="11" t="n"/>
      <c r="E94" s="11" t="n"/>
      <c r="F94" s="11">
        <f>IF($E94="","",IF($E94="Dead Lead","Black",IF(IF(ISNUMBER($J94),TODAY()-$J94&gt;3,FALSE),"Red",IF($E94="Reactivation Queue","Red",IF(OR($E94="First Deposit",$E94="Active"),"Green","Yellow")))))</f>
        <v/>
      </c>
      <c r="G94" s="11">
        <f>IF($F94="","",IF($F94="Red",1,IF($F94="Yellow",2,IF($F94="Green",3,4))))</f>
        <v/>
      </c>
      <c r="H94" s="14" t="n"/>
      <c r="I94" s="14" t="n"/>
      <c r="J94" s="12">
        <f>IF($E94="","",IF(AND(ISNUMBER($AD94),ISNUMBER($AE94)),MIN($AD94,$AE94),IF(ISNUMBER($AE94),$AE94,$AD94)))</f>
        <v/>
      </c>
      <c r="K94" s="11">
        <f>IF($E94="","",IF($E94="VIP Transferred",IF(N($AB94)&gt;=3,"Should be Dead Lead (3 attempts, still no deposit) - will auto-update","Day "&amp;CHOOSE(N($AB94)+1,1,2,3)&amp;" URGENT VIP check-in - help them finish KYC and lock in first deposit"),IF(AND($D94="",$E94&lt;&gt;"Dead Lead"),IF(N($T94)&gt;=3,"READY FOR DEAD LEAD (3 attempts, still no sign-up)","GET ROOBET SIGN-UP - "&amp;IFERROR(VLOOKUP($E94,Lists!$C$2:$E$20,2,FALSE),"")),IFERROR(VLOOKUP($E94,Lists!$C$2:$E$20,2,FALSE),""))))&amp;IF($AC94="Yes",IF(N($X94)&gt;=3," | VIP Team checkpoints complete - no more automatic check-ins"," | Day "&amp;CHOOSE(N($X94)+1,1,7,14)&amp;" VIP Team check-in - confirm active/depositing"),"")</f>
        <v/>
      </c>
      <c r="L94" s="11" t="n"/>
      <c r="M94" s="11" t="n"/>
      <c r="N94" s="15" t="n"/>
      <c r="O94" s="11">
        <f>IF($E94="","",IF(AND($E94="Active",$F94="Green"),"Yes","No"))</f>
        <v/>
      </c>
      <c r="P94" s="11" t="n"/>
      <c r="Q94">
        <f>IF($I94="","",ROUND(TODAY()-$I94,0))</f>
        <v/>
      </c>
      <c r="R94">
        <f>IF($B94="",0,IF(OR(AND(ISNUMBER($J94),$J94&lt;=TODAY(),$E94&lt;&gt;"Dead Lead"),AND($D94="",$E94&lt;&gt;"",$E94&lt;&gt;"Dead Lead",OR($I94="",$I94&lt;TODAY()))),1,0))</f>
        <v/>
      </c>
      <c r="S94">
        <f>IF($R94=1,SUMPRODUCT(($R$4:$R$203=1)*(($Q$4:$Q$203&gt;$Q94)+(($Q$4:$Q$203=$Q94)*(ROW($Q$4:$Q$203)&lt;ROW($Q94)))))+1,"")</f>
        <v/>
      </c>
      <c r="T94" s="11">
        <f>IF($B94="","",0)</f>
        <v/>
      </c>
      <c r="U94">
        <f>IF($B94="",0,IF($E94="Dead Lead",1,0))</f>
        <v/>
      </c>
      <c r="V94">
        <f>IF($U94=1,SUMPRODUCT(($U$4:$U$203=1)*(($J$4:$J$203&lt;$J94)+(($J$4:$J$203=$J94)*(ROW($J$4:$J$203)&lt;ROW($J94)))))+1,"")</f>
        <v/>
      </c>
      <c r="W94" s="12">
        <f>IF($B94="","","")</f>
        <v/>
      </c>
      <c r="X94" s="11">
        <f>IF($B94="","",0)</f>
        <v/>
      </c>
      <c r="Y94">
        <f>IF($B94="",0,IF(AND($R94=0,$E94&lt;&gt;"Dead Lead",ISNUMBER($J94),$J94&lt;=TODAY()+7),1,0))</f>
        <v/>
      </c>
      <c r="Z94">
        <f>IF($Y94=1,SUMPRODUCT(($Y$4:$Y$203=1)*(($J$4:$J$203&lt;$J94)+(($J$4:$J$203=$J94)*(ROW($J$4:$J$203)&lt;ROW($J94)))))+1,"")</f>
        <v/>
      </c>
      <c r="AA94" s="12">
        <f>IF($B94="","","")</f>
        <v/>
      </c>
      <c r="AB94" s="11">
        <f>IF($B94="","",0)</f>
        <v/>
      </c>
      <c r="AC94" s="11" t="n"/>
      <c r="AD94">
        <f>IF($E94="","",IF($E94="VIP Transferred",IF($AA94="","",IF(N($AB94)&gt;=3,"N/A - Closed",$AA94+CHOOSE(N($AB94)+1,1,2,3))),IF($I94="","",IF(VLOOKUP($E94,Lists!$C$2:$E$20,3,FALSE)="CLOSED","N/A - Closed",$I94+VLOOKUP($E94,Lists!$C$2:$E$20,3,FALSE)))))</f>
        <v/>
      </c>
      <c r="AE94">
        <f>IF(AND($AC94="Yes",$W94&lt;&gt;"",N($X94)&lt;3),$W94+CHOOSE(N($X94)+1,1,7,14),"")</f>
        <v/>
      </c>
      <c r="AF94" s="12">
        <f>IF($B94="","","")</f>
        <v/>
      </c>
    </row>
    <row r="95">
      <c r="A95" s="11">
        <f>IF($B95="","","YU-"&amp;TEXT(ROW()-3,"0000"))</f>
        <v/>
      </c>
      <c r="B95" s="11" t="n"/>
      <c r="C95" s="11" t="inlineStr">
        <is>
          <t>Discord</t>
        </is>
      </c>
      <c r="D95" s="11" t="n"/>
      <c r="E95" s="11" t="n"/>
      <c r="F95" s="11">
        <f>IF($E95="","",IF($E95="Dead Lead","Black",IF(IF(ISNUMBER($J95),TODAY()-$J95&gt;3,FALSE),"Red",IF($E95="Reactivation Queue","Red",IF(OR($E95="First Deposit",$E95="Active"),"Green","Yellow")))))</f>
        <v/>
      </c>
      <c r="G95" s="11">
        <f>IF($F95="","",IF($F95="Red",1,IF($F95="Yellow",2,IF($F95="Green",3,4))))</f>
        <v/>
      </c>
      <c r="H95" s="14" t="n"/>
      <c r="I95" s="14" t="n"/>
      <c r="J95" s="12">
        <f>IF($E95="","",IF(AND(ISNUMBER($AD95),ISNUMBER($AE95)),MIN($AD95,$AE95),IF(ISNUMBER($AE95),$AE95,$AD95)))</f>
        <v/>
      </c>
      <c r="K95" s="11">
        <f>IF($E95="","",IF($E95="VIP Transferred",IF(N($AB95)&gt;=3,"Should be Dead Lead (3 attempts, still no deposit) - will auto-update","Day "&amp;CHOOSE(N($AB95)+1,1,2,3)&amp;" URGENT VIP check-in - help them finish KYC and lock in first deposit"),IF(AND($D95="",$E95&lt;&gt;"Dead Lead"),IF(N($T95)&gt;=3,"READY FOR DEAD LEAD (3 attempts, still no sign-up)","GET ROOBET SIGN-UP - "&amp;IFERROR(VLOOKUP($E95,Lists!$C$2:$E$20,2,FALSE),"")),IFERROR(VLOOKUP($E95,Lists!$C$2:$E$20,2,FALSE),""))))&amp;IF($AC95="Yes",IF(N($X95)&gt;=3," | VIP Team checkpoints complete - no more automatic check-ins"," | Day "&amp;CHOOSE(N($X95)+1,1,7,14)&amp;" VIP Team check-in - confirm active/depositing"),"")</f>
        <v/>
      </c>
      <c r="L95" s="11" t="n"/>
      <c r="M95" s="11" t="n"/>
      <c r="N95" s="15" t="n"/>
      <c r="O95" s="11">
        <f>IF($E95="","",IF(AND($E95="Active",$F95="Green"),"Yes","No"))</f>
        <v/>
      </c>
      <c r="P95" s="11" t="n"/>
      <c r="Q95">
        <f>IF($I95="","",ROUND(TODAY()-$I95,0))</f>
        <v/>
      </c>
      <c r="R95">
        <f>IF($B95="",0,IF(OR(AND(ISNUMBER($J95),$J95&lt;=TODAY(),$E95&lt;&gt;"Dead Lead"),AND($D95="",$E95&lt;&gt;"",$E95&lt;&gt;"Dead Lead",OR($I95="",$I95&lt;TODAY()))),1,0))</f>
        <v/>
      </c>
      <c r="S95">
        <f>IF($R95=1,SUMPRODUCT(($R$4:$R$203=1)*(($Q$4:$Q$203&gt;$Q95)+(($Q$4:$Q$203=$Q95)*(ROW($Q$4:$Q$203)&lt;ROW($Q95)))))+1,"")</f>
        <v/>
      </c>
      <c r="T95" s="11">
        <f>IF($B95="","",0)</f>
        <v/>
      </c>
      <c r="U95">
        <f>IF($B95="",0,IF($E95="Dead Lead",1,0))</f>
        <v/>
      </c>
      <c r="V95">
        <f>IF($U95=1,SUMPRODUCT(($U$4:$U$203=1)*(($J$4:$J$203&lt;$J95)+(($J$4:$J$203=$J95)*(ROW($J$4:$J$203)&lt;ROW($J95)))))+1,"")</f>
        <v/>
      </c>
      <c r="W95" s="12">
        <f>IF($B95="","","")</f>
        <v/>
      </c>
      <c r="X95" s="11">
        <f>IF($B95="","",0)</f>
        <v/>
      </c>
      <c r="Y95">
        <f>IF($B95="",0,IF(AND($R95=0,$E95&lt;&gt;"Dead Lead",ISNUMBER($J95),$J95&lt;=TODAY()+7),1,0))</f>
        <v/>
      </c>
      <c r="Z95">
        <f>IF($Y95=1,SUMPRODUCT(($Y$4:$Y$203=1)*(($J$4:$J$203&lt;$J95)+(($J$4:$J$203=$J95)*(ROW($J$4:$J$203)&lt;ROW($J95)))))+1,"")</f>
        <v/>
      </c>
      <c r="AA95" s="12">
        <f>IF($B95="","","")</f>
        <v/>
      </c>
      <c r="AB95" s="11">
        <f>IF($B95="","",0)</f>
        <v/>
      </c>
      <c r="AC95" s="11" t="n"/>
      <c r="AD95">
        <f>IF($E95="","",IF($E95="VIP Transferred",IF($AA95="","",IF(N($AB95)&gt;=3,"N/A - Closed",$AA95+CHOOSE(N($AB95)+1,1,2,3))),IF($I95="","",IF(VLOOKUP($E95,Lists!$C$2:$E$20,3,FALSE)="CLOSED","N/A - Closed",$I95+VLOOKUP($E95,Lists!$C$2:$E$20,3,FALSE)))))</f>
        <v/>
      </c>
      <c r="AE95">
        <f>IF(AND($AC95="Yes",$W95&lt;&gt;"",N($X95)&lt;3),$W95+CHOOSE(N($X95)+1,1,7,14),"")</f>
        <v/>
      </c>
      <c r="AF95" s="12">
        <f>IF($B95="","","")</f>
        <v/>
      </c>
    </row>
    <row r="96">
      <c r="A96" s="11">
        <f>IF($B96="","","YU-"&amp;TEXT(ROW()-3,"0000"))</f>
        <v/>
      </c>
      <c r="B96" s="11" t="n"/>
      <c r="C96" s="11" t="inlineStr">
        <is>
          <t>Discord</t>
        </is>
      </c>
      <c r="D96" s="11" t="n"/>
      <c r="E96" s="11" t="n"/>
      <c r="F96" s="11">
        <f>IF($E96="","",IF($E96="Dead Lead","Black",IF(IF(ISNUMBER($J96),TODAY()-$J96&gt;3,FALSE),"Red",IF($E96="Reactivation Queue","Red",IF(OR($E96="First Deposit",$E96="Active"),"Green","Yellow")))))</f>
        <v/>
      </c>
      <c r="G96" s="11">
        <f>IF($F96="","",IF($F96="Red",1,IF($F96="Yellow",2,IF($F96="Green",3,4))))</f>
        <v/>
      </c>
      <c r="H96" s="14" t="n"/>
      <c r="I96" s="14" t="n"/>
      <c r="J96" s="12">
        <f>IF($E96="","",IF(AND(ISNUMBER($AD96),ISNUMBER($AE96)),MIN($AD96,$AE96),IF(ISNUMBER($AE96),$AE96,$AD96)))</f>
        <v/>
      </c>
      <c r="K96" s="11">
        <f>IF($E96="","",IF($E96="VIP Transferred",IF(N($AB96)&gt;=3,"Should be Dead Lead (3 attempts, still no deposit) - will auto-update","Day "&amp;CHOOSE(N($AB96)+1,1,2,3)&amp;" URGENT VIP check-in - help them finish KYC and lock in first deposit"),IF(AND($D96="",$E96&lt;&gt;"Dead Lead"),IF(N($T96)&gt;=3,"READY FOR DEAD LEAD (3 attempts, still no sign-up)","GET ROOBET SIGN-UP - "&amp;IFERROR(VLOOKUP($E96,Lists!$C$2:$E$20,2,FALSE),"")),IFERROR(VLOOKUP($E96,Lists!$C$2:$E$20,2,FALSE),""))))&amp;IF($AC96="Yes",IF(N($X96)&gt;=3," | VIP Team checkpoints complete - no more automatic check-ins"," | Day "&amp;CHOOSE(N($X96)+1,1,7,14)&amp;" VIP Team check-in - confirm active/depositing"),"")</f>
        <v/>
      </c>
      <c r="L96" s="11" t="n"/>
      <c r="M96" s="11" t="n"/>
      <c r="N96" s="15" t="n"/>
      <c r="O96" s="11">
        <f>IF($E96="","",IF(AND($E96="Active",$F96="Green"),"Yes","No"))</f>
        <v/>
      </c>
      <c r="P96" s="11" t="n"/>
      <c r="Q96">
        <f>IF($I96="","",ROUND(TODAY()-$I96,0))</f>
        <v/>
      </c>
      <c r="R96">
        <f>IF($B96="",0,IF(OR(AND(ISNUMBER($J96),$J96&lt;=TODAY(),$E96&lt;&gt;"Dead Lead"),AND($D96="",$E96&lt;&gt;"",$E96&lt;&gt;"Dead Lead",OR($I96="",$I96&lt;TODAY()))),1,0))</f>
        <v/>
      </c>
      <c r="S96">
        <f>IF($R96=1,SUMPRODUCT(($R$4:$R$203=1)*(($Q$4:$Q$203&gt;$Q96)+(($Q$4:$Q$203=$Q96)*(ROW($Q$4:$Q$203)&lt;ROW($Q96)))))+1,"")</f>
        <v/>
      </c>
      <c r="T96" s="11">
        <f>IF($B96="","",0)</f>
        <v/>
      </c>
      <c r="U96">
        <f>IF($B96="",0,IF($E96="Dead Lead",1,0))</f>
        <v/>
      </c>
      <c r="V96">
        <f>IF($U96=1,SUMPRODUCT(($U$4:$U$203=1)*(($J$4:$J$203&lt;$J96)+(($J$4:$J$203=$J96)*(ROW($J$4:$J$203)&lt;ROW($J96)))))+1,"")</f>
        <v/>
      </c>
      <c r="W96" s="12">
        <f>IF($B96="","","")</f>
        <v/>
      </c>
      <c r="X96" s="11">
        <f>IF($B96="","",0)</f>
        <v/>
      </c>
      <c r="Y96">
        <f>IF($B96="",0,IF(AND($R96=0,$E96&lt;&gt;"Dead Lead",ISNUMBER($J96),$J96&lt;=TODAY()+7),1,0))</f>
        <v/>
      </c>
      <c r="Z96">
        <f>IF($Y96=1,SUMPRODUCT(($Y$4:$Y$203=1)*(($J$4:$J$203&lt;$J96)+(($J$4:$J$203=$J96)*(ROW($J$4:$J$203)&lt;ROW($J96)))))+1,"")</f>
        <v/>
      </c>
      <c r="AA96" s="12">
        <f>IF($B96="","","")</f>
        <v/>
      </c>
      <c r="AB96" s="11">
        <f>IF($B96="","",0)</f>
        <v/>
      </c>
      <c r="AC96" s="11" t="n"/>
      <c r="AD96">
        <f>IF($E96="","",IF($E96="VIP Transferred",IF($AA96="","",IF(N($AB96)&gt;=3,"N/A - Closed",$AA96+CHOOSE(N($AB96)+1,1,2,3))),IF($I96="","",IF(VLOOKUP($E96,Lists!$C$2:$E$20,3,FALSE)="CLOSED","N/A - Closed",$I96+VLOOKUP($E96,Lists!$C$2:$E$20,3,FALSE)))))</f>
        <v/>
      </c>
      <c r="AE96">
        <f>IF(AND($AC96="Yes",$W96&lt;&gt;"",N($X96)&lt;3),$W96+CHOOSE(N($X96)+1,1,7,14),"")</f>
        <v/>
      </c>
      <c r="AF96" s="12">
        <f>IF($B96="","","")</f>
        <v/>
      </c>
    </row>
    <row r="97">
      <c r="A97" s="11">
        <f>IF($B97="","","YU-"&amp;TEXT(ROW()-3,"0000"))</f>
        <v/>
      </c>
      <c r="B97" s="11" t="n"/>
      <c r="C97" s="11" t="inlineStr">
        <is>
          <t>Discord</t>
        </is>
      </c>
      <c r="D97" s="11" t="n"/>
      <c r="E97" s="11" t="n"/>
      <c r="F97" s="11">
        <f>IF($E97="","",IF($E97="Dead Lead","Black",IF(IF(ISNUMBER($J97),TODAY()-$J97&gt;3,FALSE),"Red",IF($E97="Reactivation Queue","Red",IF(OR($E97="First Deposit",$E97="Active"),"Green","Yellow")))))</f>
        <v/>
      </c>
      <c r="G97" s="11">
        <f>IF($F97="","",IF($F97="Red",1,IF($F97="Yellow",2,IF($F97="Green",3,4))))</f>
        <v/>
      </c>
      <c r="H97" s="14" t="n"/>
      <c r="I97" s="14" t="n"/>
      <c r="J97" s="12">
        <f>IF($E97="","",IF(AND(ISNUMBER($AD97),ISNUMBER($AE97)),MIN($AD97,$AE97),IF(ISNUMBER($AE97),$AE97,$AD97)))</f>
        <v/>
      </c>
      <c r="K97" s="11">
        <f>IF($E97="","",IF($E97="VIP Transferred",IF(N($AB97)&gt;=3,"Should be Dead Lead (3 attempts, still no deposit) - will auto-update","Day "&amp;CHOOSE(N($AB97)+1,1,2,3)&amp;" URGENT VIP check-in - help them finish KYC and lock in first deposit"),IF(AND($D97="",$E97&lt;&gt;"Dead Lead"),IF(N($T97)&gt;=3,"READY FOR DEAD LEAD (3 attempts, still no sign-up)","GET ROOBET SIGN-UP - "&amp;IFERROR(VLOOKUP($E97,Lists!$C$2:$E$20,2,FALSE),"")),IFERROR(VLOOKUP($E97,Lists!$C$2:$E$20,2,FALSE),""))))&amp;IF($AC97="Yes",IF(N($X97)&gt;=3," | VIP Team checkpoints complete - no more automatic check-ins"," | Day "&amp;CHOOSE(N($X97)+1,1,7,14)&amp;" VIP Team check-in - confirm active/depositing"),"")</f>
        <v/>
      </c>
      <c r="L97" s="11" t="n"/>
      <c r="M97" s="11" t="n"/>
      <c r="N97" s="15" t="n"/>
      <c r="O97" s="11">
        <f>IF($E97="","",IF(AND($E97="Active",$F97="Green"),"Yes","No"))</f>
        <v/>
      </c>
      <c r="P97" s="11" t="n"/>
      <c r="Q97">
        <f>IF($I97="","",ROUND(TODAY()-$I97,0))</f>
        <v/>
      </c>
      <c r="R97">
        <f>IF($B97="",0,IF(OR(AND(ISNUMBER($J97),$J97&lt;=TODAY(),$E97&lt;&gt;"Dead Lead"),AND($D97="",$E97&lt;&gt;"",$E97&lt;&gt;"Dead Lead",OR($I97="",$I97&lt;TODAY()))),1,0))</f>
        <v/>
      </c>
      <c r="S97">
        <f>IF($R97=1,SUMPRODUCT(($R$4:$R$203=1)*(($Q$4:$Q$203&gt;$Q97)+(($Q$4:$Q$203=$Q97)*(ROW($Q$4:$Q$203)&lt;ROW($Q97)))))+1,"")</f>
        <v/>
      </c>
      <c r="T97" s="11">
        <f>IF($B97="","",0)</f>
        <v/>
      </c>
      <c r="U97">
        <f>IF($B97="",0,IF($E97="Dead Lead",1,0))</f>
        <v/>
      </c>
      <c r="V97">
        <f>IF($U97=1,SUMPRODUCT(($U$4:$U$203=1)*(($J$4:$J$203&lt;$J97)+(($J$4:$J$203=$J97)*(ROW($J$4:$J$203)&lt;ROW($J97)))))+1,"")</f>
        <v/>
      </c>
      <c r="W97" s="12">
        <f>IF($B97="","","")</f>
        <v/>
      </c>
      <c r="X97" s="11">
        <f>IF($B97="","",0)</f>
        <v/>
      </c>
      <c r="Y97">
        <f>IF($B97="",0,IF(AND($R97=0,$E97&lt;&gt;"Dead Lead",ISNUMBER($J97),$J97&lt;=TODAY()+7),1,0))</f>
        <v/>
      </c>
      <c r="Z97">
        <f>IF($Y97=1,SUMPRODUCT(($Y$4:$Y$203=1)*(($J$4:$J$203&lt;$J97)+(($J$4:$J$203=$J97)*(ROW($J$4:$J$203)&lt;ROW($J97)))))+1,"")</f>
        <v/>
      </c>
      <c r="AA97" s="12">
        <f>IF($B97="","","")</f>
        <v/>
      </c>
      <c r="AB97" s="11">
        <f>IF($B97="","",0)</f>
        <v/>
      </c>
      <c r="AC97" s="11" t="n"/>
      <c r="AD97">
        <f>IF($E97="","",IF($E97="VIP Transferred",IF($AA97="","",IF(N($AB97)&gt;=3,"N/A - Closed",$AA97+CHOOSE(N($AB97)+1,1,2,3))),IF($I97="","",IF(VLOOKUP($E97,Lists!$C$2:$E$20,3,FALSE)="CLOSED","N/A - Closed",$I97+VLOOKUP($E97,Lists!$C$2:$E$20,3,FALSE)))))</f>
        <v/>
      </c>
      <c r="AE97">
        <f>IF(AND($AC97="Yes",$W97&lt;&gt;"",N($X97)&lt;3),$W97+CHOOSE(N($X97)+1,1,7,14),"")</f>
        <v/>
      </c>
      <c r="AF97" s="12">
        <f>IF($B97="","","")</f>
        <v/>
      </c>
    </row>
    <row r="98">
      <c r="A98" s="11">
        <f>IF($B98="","","YU-"&amp;TEXT(ROW()-3,"0000"))</f>
        <v/>
      </c>
      <c r="B98" s="11" t="n"/>
      <c r="C98" s="11" t="inlineStr">
        <is>
          <t>Discord</t>
        </is>
      </c>
      <c r="D98" s="11" t="n"/>
      <c r="E98" s="11" t="n"/>
      <c r="F98" s="11">
        <f>IF($E98="","",IF($E98="Dead Lead","Black",IF(IF(ISNUMBER($J98),TODAY()-$J98&gt;3,FALSE),"Red",IF($E98="Reactivation Queue","Red",IF(OR($E98="First Deposit",$E98="Active"),"Green","Yellow")))))</f>
        <v/>
      </c>
      <c r="G98" s="11">
        <f>IF($F98="","",IF($F98="Red",1,IF($F98="Yellow",2,IF($F98="Green",3,4))))</f>
        <v/>
      </c>
      <c r="H98" s="14" t="n"/>
      <c r="I98" s="14" t="n"/>
      <c r="J98" s="12">
        <f>IF($E98="","",IF(AND(ISNUMBER($AD98),ISNUMBER($AE98)),MIN($AD98,$AE98),IF(ISNUMBER($AE98),$AE98,$AD98)))</f>
        <v/>
      </c>
      <c r="K98" s="11">
        <f>IF($E98="","",IF($E98="VIP Transferred",IF(N($AB98)&gt;=3,"Should be Dead Lead (3 attempts, still no deposit) - will auto-update","Day "&amp;CHOOSE(N($AB98)+1,1,2,3)&amp;" URGENT VIP check-in - help them finish KYC and lock in first deposit"),IF(AND($D98="",$E98&lt;&gt;"Dead Lead"),IF(N($T98)&gt;=3,"READY FOR DEAD LEAD (3 attempts, still no sign-up)","GET ROOBET SIGN-UP - "&amp;IFERROR(VLOOKUP($E98,Lists!$C$2:$E$20,2,FALSE),"")),IFERROR(VLOOKUP($E98,Lists!$C$2:$E$20,2,FALSE),""))))&amp;IF($AC98="Yes",IF(N($X98)&gt;=3," | VIP Team checkpoints complete - no more automatic check-ins"," | Day "&amp;CHOOSE(N($X98)+1,1,7,14)&amp;" VIP Team check-in - confirm active/depositing"),"")</f>
        <v/>
      </c>
      <c r="L98" s="11" t="n"/>
      <c r="M98" s="11" t="n"/>
      <c r="N98" s="15" t="n"/>
      <c r="O98" s="11">
        <f>IF($E98="","",IF(AND($E98="Active",$F98="Green"),"Yes","No"))</f>
        <v/>
      </c>
      <c r="P98" s="11" t="n"/>
      <c r="Q98">
        <f>IF($I98="","",ROUND(TODAY()-$I98,0))</f>
        <v/>
      </c>
      <c r="R98">
        <f>IF($B98="",0,IF(OR(AND(ISNUMBER($J98),$J98&lt;=TODAY(),$E98&lt;&gt;"Dead Lead"),AND($D98="",$E98&lt;&gt;"",$E98&lt;&gt;"Dead Lead",OR($I98="",$I98&lt;TODAY()))),1,0))</f>
        <v/>
      </c>
      <c r="S98">
        <f>IF($R98=1,SUMPRODUCT(($R$4:$R$203=1)*(($Q$4:$Q$203&gt;$Q98)+(($Q$4:$Q$203=$Q98)*(ROW($Q$4:$Q$203)&lt;ROW($Q98)))))+1,"")</f>
        <v/>
      </c>
      <c r="T98" s="11">
        <f>IF($B98="","",0)</f>
        <v/>
      </c>
      <c r="U98">
        <f>IF($B98="",0,IF($E98="Dead Lead",1,0))</f>
        <v/>
      </c>
      <c r="V98">
        <f>IF($U98=1,SUMPRODUCT(($U$4:$U$203=1)*(($J$4:$J$203&lt;$J98)+(($J$4:$J$203=$J98)*(ROW($J$4:$J$203)&lt;ROW($J98)))))+1,"")</f>
        <v/>
      </c>
      <c r="W98" s="12">
        <f>IF($B98="","","")</f>
        <v/>
      </c>
      <c r="X98" s="11">
        <f>IF($B98="","",0)</f>
        <v/>
      </c>
      <c r="Y98">
        <f>IF($B98="",0,IF(AND($R98=0,$E98&lt;&gt;"Dead Lead",ISNUMBER($J98),$J98&lt;=TODAY()+7),1,0))</f>
        <v/>
      </c>
      <c r="Z98">
        <f>IF($Y98=1,SUMPRODUCT(($Y$4:$Y$203=1)*(($J$4:$J$203&lt;$J98)+(($J$4:$J$203=$J98)*(ROW($J$4:$J$203)&lt;ROW($J98)))))+1,"")</f>
        <v/>
      </c>
      <c r="AA98" s="12">
        <f>IF($B98="","","")</f>
        <v/>
      </c>
      <c r="AB98" s="11">
        <f>IF($B98="","",0)</f>
        <v/>
      </c>
      <c r="AC98" s="11" t="n"/>
      <c r="AD98">
        <f>IF($E98="","",IF($E98="VIP Transferred",IF($AA98="","",IF(N($AB98)&gt;=3,"N/A - Closed",$AA98+CHOOSE(N($AB98)+1,1,2,3))),IF($I98="","",IF(VLOOKUP($E98,Lists!$C$2:$E$20,3,FALSE)="CLOSED","N/A - Closed",$I98+VLOOKUP($E98,Lists!$C$2:$E$20,3,FALSE)))))</f>
        <v/>
      </c>
      <c r="AE98">
        <f>IF(AND($AC98="Yes",$W98&lt;&gt;"",N($X98)&lt;3),$W98+CHOOSE(N($X98)+1,1,7,14),"")</f>
        <v/>
      </c>
      <c r="AF98" s="12">
        <f>IF($B98="","","")</f>
        <v/>
      </c>
    </row>
    <row r="99">
      <c r="A99" s="11">
        <f>IF($B99="","","YU-"&amp;TEXT(ROW()-3,"0000"))</f>
        <v/>
      </c>
      <c r="B99" s="11" t="n"/>
      <c r="C99" s="11" t="inlineStr">
        <is>
          <t>Discord</t>
        </is>
      </c>
      <c r="D99" s="11" t="n"/>
      <c r="E99" s="11" t="n"/>
      <c r="F99" s="11">
        <f>IF($E99="","",IF($E99="Dead Lead","Black",IF(IF(ISNUMBER($J99),TODAY()-$J99&gt;3,FALSE),"Red",IF($E99="Reactivation Queue","Red",IF(OR($E99="First Deposit",$E99="Active"),"Green","Yellow")))))</f>
        <v/>
      </c>
      <c r="G99" s="11">
        <f>IF($F99="","",IF($F99="Red",1,IF($F99="Yellow",2,IF($F99="Green",3,4))))</f>
        <v/>
      </c>
      <c r="H99" s="14" t="n"/>
      <c r="I99" s="14" t="n"/>
      <c r="J99" s="12">
        <f>IF($E99="","",IF(AND(ISNUMBER($AD99),ISNUMBER($AE99)),MIN($AD99,$AE99),IF(ISNUMBER($AE99),$AE99,$AD99)))</f>
        <v/>
      </c>
      <c r="K99" s="11">
        <f>IF($E99="","",IF($E99="VIP Transferred",IF(N($AB99)&gt;=3,"Should be Dead Lead (3 attempts, still no deposit) - will auto-update","Day "&amp;CHOOSE(N($AB99)+1,1,2,3)&amp;" URGENT VIP check-in - help them finish KYC and lock in first deposit"),IF(AND($D99="",$E99&lt;&gt;"Dead Lead"),IF(N($T99)&gt;=3,"READY FOR DEAD LEAD (3 attempts, still no sign-up)","GET ROOBET SIGN-UP - "&amp;IFERROR(VLOOKUP($E99,Lists!$C$2:$E$20,2,FALSE),"")),IFERROR(VLOOKUP($E99,Lists!$C$2:$E$20,2,FALSE),""))))&amp;IF($AC99="Yes",IF(N($X99)&gt;=3," | VIP Team checkpoints complete - no more automatic check-ins"," | Day "&amp;CHOOSE(N($X99)+1,1,7,14)&amp;" VIP Team check-in - confirm active/depositing"),"")</f>
        <v/>
      </c>
      <c r="L99" s="11" t="n"/>
      <c r="M99" s="11" t="n"/>
      <c r="N99" s="15" t="n"/>
      <c r="O99" s="11">
        <f>IF($E99="","",IF(AND($E99="Active",$F99="Green"),"Yes","No"))</f>
        <v/>
      </c>
      <c r="P99" s="11" t="n"/>
      <c r="Q99">
        <f>IF($I99="","",ROUND(TODAY()-$I99,0))</f>
        <v/>
      </c>
      <c r="R99">
        <f>IF($B99="",0,IF(OR(AND(ISNUMBER($J99),$J99&lt;=TODAY(),$E99&lt;&gt;"Dead Lead"),AND($D99="",$E99&lt;&gt;"",$E99&lt;&gt;"Dead Lead",OR($I99="",$I99&lt;TODAY()))),1,0))</f>
        <v/>
      </c>
      <c r="S99">
        <f>IF($R99=1,SUMPRODUCT(($R$4:$R$203=1)*(($Q$4:$Q$203&gt;$Q99)+(($Q$4:$Q$203=$Q99)*(ROW($Q$4:$Q$203)&lt;ROW($Q99)))))+1,"")</f>
        <v/>
      </c>
      <c r="T99" s="11">
        <f>IF($B99="","",0)</f>
        <v/>
      </c>
      <c r="U99">
        <f>IF($B99="",0,IF($E99="Dead Lead",1,0))</f>
        <v/>
      </c>
      <c r="V99">
        <f>IF($U99=1,SUMPRODUCT(($U$4:$U$203=1)*(($J$4:$J$203&lt;$J99)+(($J$4:$J$203=$J99)*(ROW($J$4:$J$203)&lt;ROW($J99)))))+1,"")</f>
        <v/>
      </c>
      <c r="W99" s="12">
        <f>IF($B99="","","")</f>
        <v/>
      </c>
      <c r="X99" s="11">
        <f>IF($B99="","",0)</f>
        <v/>
      </c>
      <c r="Y99">
        <f>IF($B99="",0,IF(AND($R99=0,$E99&lt;&gt;"Dead Lead",ISNUMBER($J99),$J99&lt;=TODAY()+7),1,0))</f>
        <v/>
      </c>
      <c r="Z99">
        <f>IF($Y99=1,SUMPRODUCT(($Y$4:$Y$203=1)*(($J$4:$J$203&lt;$J99)+(($J$4:$J$203=$J99)*(ROW($J$4:$J$203)&lt;ROW($J99)))))+1,"")</f>
        <v/>
      </c>
      <c r="AA99" s="12">
        <f>IF($B99="","","")</f>
        <v/>
      </c>
      <c r="AB99" s="11">
        <f>IF($B99="","",0)</f>
        <v/>
      </c>
      <c r="AC99" s="11" t="n"/>
      <c r="AD99">
        <f>IF($E99="","",IF($E99="VIP Transferred",IF($AA99="","",IF(N($AB99)&gt;=3,"N/A - Closed",$AA99+CHOOSE(N($AB99)+1,1,2,3))),IF($I99="","",IF(VLOOKUP($E99,Lists!$C$2:$E$20,3,FALSE)="CLOSED","N/A - Closed",$I99+VLOOKUP($E99,Lists!$C$2:$E$20,3,FALSE)))))</f>
        <v/>
      </c>
      <c r="AE99">
        <f>IF(AND($AC99="Yes",$W99&lt;&gt;"",N($X99)&lt;3),$W99+CHOOSE(N($X99)+1,1,7,14),"")</f>
        <v/>
      </c>
      <c r="AF99" s="12">
        <f>IF($B99="","","")</f>
        <v/>
      </c>
    </row>
    <row r="100">
      <c r="A100" s="11">
        <f>IF($B100="","","YU-"&amp;TEXT(ROW()-3,"0000"))</f>
        <v/>
      </c>
      <c r="B100" s="11" t="n"/>
      <c r="C100" s="11" t="inlineStr">
        <is>
          <t>Discord</t>
        </is>
      </c>
      <c r="D100" s="11" t="n"/>
      <c r="E100" s="11" t="n"/>
      <c r="F100" s="11">
        <f>IF($E100="","",IF($E100="Dead Lead","Black",IF(IF(ISNUMBER($J100),TODAY()-$J100&gt;3,FALSE),"Red",IF($E100="Reactivation Queue","Red",IF(OR($E100="First Deposit",$E100="Active"),"Green","Yellow")))))</f>
        <v/>
      </c>
      <c r="G100" s="11">
        <f>IF($F100="","",IF($F100="Red",1,IF($F100="Yellow",2,IF($F100="Green",3,4))))</f>
        <v/>
      </c>
      <c r="H100" s="14" t="n"/>
      <c r="I100" s="14" t="n"/>
      <c r="J100" s="12">
        <f>IF($E100="","",IF(AND(ISNUMBER($AD100),ISNUMBER($AE100)),MIN($AD100,$AE100),IF(ISNUMBER($AE100),$AE100,$AD100)))</f>
        <v/>
      </c>
      <c r="K100" s="11">
        <f>IF($E100="","",IF($E100="VIP Transferred",IF(N($AB100)&gt;=3,"Should be Dead Lead (3 attempts, still no deposit) - will auto-update","Day "&amp;CHOOSE(N($AB100)+1,1,2,3)&amp;" URGENT VIP check-in - help them finish KYC and lock in first deposit"),IF(AND($D100="",$E100&lt;&gt;"Dead Lead"),IF(N($T100)&gt;=3,"READY FOR DEAD LEAD (3 attempts, still no sign-up)","GET ROOBET SIGN-UP - "&amp;IFERROR(VLOOKUP($E100,Lists!$C$2:$E$20,2,FALSE),"")),IFERROR(VLOOKUP($E100,Lists!$C$2:$E$20,2,FALSE),""))))&amp;IF($AC100="Yes",IF(N($X100)&gt;=3," | VIP Team checkpoints complete - no more automatic check-ins"," | Day "&amp;CHOOSE(N($X100)+1,1,7,14)&amp;" VIP Team check-in - confirm active/depositing"),"")</f>
        <v/>
      </c>
      <c r="L100" s="11" t="n"/>
      <c r="M100" s="11" t="n"/>
      <c r="N100" s="15" t="n"/>
      <c r="O100" s="11">
        <f>IF($E100="","",IF(AND($E100="Active",$F100="Green"),"Yes","No"))</f>
        <v/>
      </c>
      <c r="P100" s="11" t="n"/>
      <c r="Q100">
        <f>IF($I100="","",ROUND(TODAY()-$I100,0))</f>
        <v/>
      </c>
      <c r="R100">
        <f>IF($B100="",0,IF(OR(AND(ISNUMBER($J100),$J100&lt;=TODAY(),$E100&lt;&gt;"Dead Lead"),AND($D100="",$E100&lt;&gt;"",$E100&lt;&gt;"Dead Lead",OR($I100="",$I100&lt;TODAY()))),1,0))</f>
        <v/>
      </c>
      <c r="S100">
        <f>IF($R100=1,SUMPRODUCT(($R$4:$R$203=1)*(($Q$4:$Q$203&gt;$Q100)+(($Q$4:$Q$203=$Q100)*(ROW($Q$4:$Q$203)&lt;ROW($Q100)))))+1,"")</f>
        <v/>
      </c>
      <c r="T100" s="11">
        <f>IF($B100="","",0)</f>
        <v/>
      </c>
      <c r="U100">
        <f>IF($B100="",0,IF($E100="Dead Lead",1,0))</f>
        <v/>
      </c>
      <c r="V100">
        <f>IF($U100=1,SUMPRODUCT(($U$4:$U$203=1)*(($J$4:$J$203&lt;$J100)+(($J$4:$J$203=$J100)*(ROW($J$4:$J$203)&lt;ROW($J100)))))+1,"")</f>
        <v/>
      </c>
      <c r="W100" s="12">
        <f>IF($B100="","","")</f>
        <v/>
      </c>
      <c r="X100" s="11">
        <f>IF($B100="","",0)</f>
        <v/>
      </c>
      <c r="Y100">
        <f>IF($B100="",0,IF(AND($R100=0,$E100&lt;&gt;"Dead Lead",ISNUMBER($J100),$J100&lt;=TODAY()+7),1,0))</f>
        <v/>
      </c>
      <c r="Z100">
        <f>IF($Y100=1,SUMPRODUCT(($Y$4:$Y$203=1)*(($J$4:$J$203&lt;$J100)+(($J$4:$J$203=$J100)*(ROW($J$4:$J$203)&lt;ROW($J100)))))+1,"")</f>
        <v/>
      </c>
      <c r="AA100" s="12">
        <f>IF($B100="","","")</f>
        <v/>
      </c>
      <c r="AB100" s="11">
        <f>IF($B100="","",0)</f>
        <v/>
      </c>
      <c r="AC100" s="11" t="n"/>
      <c r="AD100">
        <f>IF($E100="","",IF($E100="VIP Transferred",IF($AA100="","",IF(N($AB100)&gt;=3,"N/A - Closed",$AA100+CHOOSE(N($AB100)+1,1,2,3))),IF($I100="","",IF(VLOOKUP($E100,Lists!$C$2:$E$20,3,FALSE)="CLOSED","N/A - Closed",$I100+VLOOKUP($E100,Lists!$C$2:$E$20,3,FALSE)))))</f>
        <v/>
      </c>
      <c r="AE100">
        <f>IF(AND($AC100="Yes",$W100&lt;&gt;"",N($X100)&lt;3),$W100+CHOOSE(N($X100)+1,1,7,14),"")</f>
        <v/>
      </c>
      <c r="AF100" s="12">
        <f>IF($B100="","","")</f>
        <v/>
      </c>
    </row>
    <row r="101">
      <c r="A101" s="11">
        <f>IF($B101="","","YU-"&amp;TEXT(ROW()-3,"0000"))</f>
        <v/>
      </c>
      <c r="B101" s="11" t="n"/>
      <c r="C101" s="11" t="inlineStr">
        <is>
          <t>Discord</t>
        </is>
      </c>
      <c r="D101" s="11" t="n"/>
      <c r="E101" s="11" t="n"/>
      <c r="F101" s="11">
        <f>IF($E101="","",IF($E101="Dead Lead","Black",IF(IF(ISNUMBER($J101),TODAY()-$J101&gt;3,FALSE),"Red",IF($E101="Reactivation Queue","Red",IF(OR($E101="First Deposit",$E101="Active"),"Green","Yellow")))))</f>
        <v/>
      </c>
      <c r="G101" s="11">
        <f>IF($F101="","",IF($F101="Red",1,IF($F101="Yellow",2,IF($F101="Green",3,4))))</f>
        <v/>
      </c>
      <c r="H101" s="14" t="n"/>
      <c r="I101" s="14" t="n"/>
      <c r="J101" s="12">
        <f>IF($E101="","",IF(AND(ISNUMBER($AD101),ISNUMBER($AE101)),MIN($AD101,$AE101),IF(ISNUMBER($AE101),$AE101,$AD101)))</f>
        <v/>
      </c>
      <c r="K101" s="11">
        <f>IF($E101="","",IF($E101="VIP Transferred",IF(N($AB101)&gt;=3,"Should be Dead Lead (3 attempts, still no deposit) - will auto-update","Day "&amp;CHOOSE(N($AB101)+1,1,2,3)&amp;" URGENT VIP check-in - help them finish KYC and lock in first deposit"),IF(AND($D101="",$E101&lt;&gt;"Dead Lead"),IF(N($T101)&gt;=3,"READY FOR DEAD LEAD (3 attempts, still no sign-up)","GET ROOBET SIGN-UP - "&amp;IFERROR(VLOOKUP($E101,Lists!$C$2:$E$20,2,FALSE),"")),IFERROR(VLOOKUP($E101,Lists!$C$2:$E$20,2,FALSE),""))))&amp;IF($AC101="Yes",IF(N($X101)&gt;=3," | VIP Team checkpoints complete - no more automatic check-ins"," | Day "&amp;CHOOSE(N($X101)+1,1,7,14)&amp;" VIP Team check-in - confirm active/depositing"),"")</f>
        <v/>
      </c>
      <c r="L101" s="11" t="n"/>
      <c r="M101" s="11" t="n"/>
      <c r="N101" s="15" t="n"/>
      <c r="O101" s="11">
        <f>IF($E101="","",IF(AND($E101="Active",$F101="Green"),"Yes","No"))</f>
        <v/>
      </c>
      <c r="P101" s="11" t="n"/>
      <c r="Q101">
        <f>IF($I101="","",ROUND(TODAY()-$I101,0))</f>
        <v/>
      </c>
      <c r="R101">
        <f>IF($B101="",0,IF(OR(AND(ISNUMBER($J101),$J101&lt;=TODAY(),$E101&lt;&gt;"Dead Lead"),AND($D101="",$E101&lt;&gt;"",$E101&lt;&gt;"Dead Lead",OR($I101="",$I101&lt;TODAY()))),1,0))</f>
        <v/>
      </c>
      <c r="S101">
        <f>IF($R101=1,SUMPRODUCT(($R$4:$R$203=1)*(($Q$4:$Q$203&gt;$Q101)+(($Q$4:$Q$203=$Q101)*(ROW($Q$4:$Q$203)&lt;ROW($Q101)))))+1,"")</f>
        <v/>
      </c>
      <c r="T101" s="11">
        <f>IF($B101="","",0)</f>
        <v/>
      </c>
      <c r="U101">
        <f>IF($B101="",0,IF($E101="Dead Lead",1,0))</f>
        <v/>
      </c>
      <c r="V101">
        <f>IF($U101=1,SUMPRODUCT(($U$4:$U$203=1)*(($J$4:$J$203&lt;$J101)+(($J$4:$J$203=$J101)*(ROW($J$4:$J$203)&lt;ROW($J101)))))+1,"")</f>
        <v/>
      </c>
      <c r="W101" s="12">
        <f>IF($B101="","","")</f>
        <v/>
      </c>
      <c r="X101" s="11">
        <f>IF($B101="","",0)</f>
        <v/>
      </c>
      <c r="Y101">
        <f>IF($B101="",0,IF(AND($R101=0,$E101&lt;&gt;"Dead Lead",ISNUMBER($J101),$J101&lt;=TODAY()+7),1,0))</f>
        <v/>
      </c>
      <c r="Z101">
        <f>IF($Y101=1,SUMPRODUCT(($Y$4:$Y$203=1)*(($J$4:$J$203&lt;$J101)+(($J$4:$J$203=$J101)*(ROW($J$4:$J$203)&lt;ROW($J101)))))+1,"")</f>
        <v/>
      </c>
      <c r="AA101" s="12">
        <f>IF($B101="","","")</f>
        <v/>
      </c>
      <c r="AB101" s="11">
        <f>IF($B101="","",0)</f>
        <v/>
      </c>
      <c r="AC101" s="11" t="n"/>
      <c r="AD101">
        <f>IF($E101="","",IF($E101="VIP Transferred",IF($AA101="","",IF(N($AB101)&gt;=3,"N/A - Closed",$AA101+CHOOSE(N($AB101)+1,1,2,3))),IF($I101="","",IF(VLOOKUP($E101,Lists!$C$2:$E$20,3,FALSE)="CLOSED","N/A - Closed",$I101+VLOOKUP($E101,Lists!$C$2:$E$20,3,FALSE)))))</f>
        <v/>
      </c>
      <c r="AE101">
        <f>IF(AND($AC101="Yes",$W101&lt;&gt;"",N($X101)&lt;3),$W101+CHOOSE(N($X101)+1,1,7,14),"")</f>
        <v/>
      </c>
      <c r="AF101" s="12">
        <f>IF($B101="","","")</f>
        <v/>
      </c>
    </row>
    <row r="102">
      <c r="A102" s="11">
        <f>IF($B102="","","YU-"&amp;TEXT(ROW()-3,"0000"))</f>
        <v/>
      </c>
      <c r="B102" s="11" t="n"/>
      <c r="C102" s="11" t="inlineStr">
        <is>
          <t>Discord</t>
        </is>
      </c>
      <c r="D102" s="11" t="n"/>
      <c r="E102" s="11" t="n"/>
      <c r="F102" s="11">
        <f>IF($E102="","",IF($E102="Dead Lead","Black",IF(IF(ISNUMBER($J102),TODAY()-$J102&gt;3,FALSE),"Red",IF($E102="Reactivation Queue","Red",IF(OR($E102="First Deposit",$E102="Active"),"Green","Yellow")))))</f>
        <v/>
      </c>
      <c r="G102" s="11">
        <f>IF($F102="","",IF($F102="Red",1,IF($F102="Yellow",2,IF($F102="Green",3,4))))</f>
        <v/>
      </c>
      <c r="H102" s="14" t="n"/>
      <c r="I102" s="14" t="n"/>
      <c r="J102" s="12">
        <f>IF($E102="","",IF(AND(ISNUMBER($AD102),ISNUMBER($AE102)),MIN($AD102,$AE102),IF(ISNUMBER($AE102),$AE102,$AD102)))</f>
        <v/>
      </c>
      <c r="K102" s="11">
        <f>IF($E102="","",IF($E102="VIP Transferred",IF(N($AB102)&gt;=3,"Should be Dead Lead (3 attempts, still no deposit) - will auto-update","Day "&amp;CHOOSE(N($AB102)+1,1,2,3)&amp;" URGENT VIP check-in - help them finish KYC and lock in first deposit"),IF(AND($D102="",$E102&lt;&gt;"Dead Lead"),IF(N($T102)&gt;=3,"READY FOR DEAD LEAD (3 attempts, still no sign-up)","GET ROOBET SIGN-UP - "&amp;IFERROR(VLOOKUP($E102,Lists!$C$2:$E$20,2,FALSE),"")),IFERROR(VLOOKUP($E102,Lists!$C$2:$E$20,2,FALSE),""))))&amp;IF($AC102="Yes",IF(N($X102)&gt;=3," | VIP Team checkpoints complete - no more automatic check-ins"," | Day "&amp;CHOOSE(N($X102)+1,1,7,14)&amp;" VIP Team check-in - confirm active/depositing"),"")</f>
        <v/>
      </c>
      <c r="L102" s="11" t="n"/>
      <c r="M102" s="11" t="n"/>
      <c r="N102" s="15" t="n"/>
      <c r="O102" s="11">
        <f>IF($E102="","",IF(AND($E102="Active",$F102="Green"),"Yes","No"))</f>
        <v/>
      </c>
      <c r="P102" s="11" t="n"/>
      <c r="Q102">
        <f>IF($I102="","",ROUND(TODAY()-$I102,0))</f>
        <v/>
      </c>
      <c r="R102">
        <f>IF($B102="",0,IF(OR(AND(ISNUMBER($J102),$J102&lt;=TODAY(),$E102&lt;&gt;"Dead Lead"),AND($D102="",$E102&lt;&gt;"",$E102&lt;&gt;"Dead Lead",OR($I102="",$I102&lt;TODAY()))),1,0))</f>
        <v/>
      </c>
      <c r="S102">
        <f>IF($R102=1,SUMPRODUCT(($R$4:$R$203=1)*(($Q$4:$Q$203&gt;$Q102)+(($Q$4:$Q$203=$Q102)*(ROW($Q$4:$Q$203)&lt;ROW($Q102)))))+1,"")</f>
        <v/>
      </c>
      <c r="T102" s="11">
        <f>IF($B102="","",0)</f>
        <v/>
      </c>
      <c r="U102">
        <f>IF($B102="",0,IF($E102="Dead Lead",1,0))</f>
        <v/>
      </c>
      <c r="V102">
        <f>IF($U102=1,SUMPRODUCT(($U$4:$U$203=1)*(($J$4:$J$203&lt;$J102)+(($J$4:$J$203=$J102)*(ROW($J$4:$J$203)&lt;ROW($J102)))))+1,"")</f>
        <v/>
      </c>
      <c r="W102" s="12">
        <f>IF($B102="","","")</f>
        <v/>
      </c>
      <c r="X102" s="11">
        <f>IF($B102="","",0)</f>
        <v/>
      </c>
      <c r="Y102">
        <f>IF($B102="",0,IF(AND($R102=0,$E102&lt;&gt;"Dead Lead",ISNUMBER($J102),$J102&lt;=TODAY()+7),1,0))</f>
        <v/>
      </c>
      <c r="Z102">
        <f>IF($Y102=1,SUMPRODUCT(($Y$4:$Y$203=1)*(($J$4:$J$203&lt;$J102)+(($J$4:$J$203=$J102)*(ROW($J$4:$J$203)&lt;ROW($J102)))))+1,"")</f>
        <v/>
      </c>
      <c r="AA102" s="12">
        <f>IF($B102="","","")</f>
        <v/>
      </c>
      <c r="AB102" s="11">
        <f>IF($B102="","",0)</f>
        <v/>
      </c>
      <c r="AC102" s="11" t="n"/>
      <c r="AD102">
        <f>IF($E102="","",IF($E102="VIP Transferred",IF($AA102="","",IF(N($AB102)&gt;=3,"N/A - Closed",$AA102+CHOOSE(N($AB102)+1,1,2,3))),IF($I102="","",IF(VLOOKUP($E102,Lists!$C$2:$E$20,3,FALSE)="CLOSED","N/A - Closed",$I102+VLOOKUP($E102,Lists!$C$2:$E$20,3,FALSE)))))</f>
        <v/>
      </c>
      <c r="AE102">
        <f>IF(AND($AC102="Yes",$W102&lt;&gt;"",N($X102)&lt;3),$W102+CHOOSE(N($X102)+1,1,7,14),"")</f>
        <v/>
      </c>
      <c r="AF102" s="12">
        <f>IF($B102="","","")</f>
        <v/>
      </c>
    </row>
    <row r="103">
      <c r="A103" s="11">
        <f>IF($B103="","","YU-"&amp;TEXT(ROW()-3,"0000"))</f>
        <v/>
      </c>
      <c r="B103" s="11" t="n"/>
      <c r="C103" s="11" t="inlineStr">
        <is>
          <t>Discord</t>
        </is>
      </c>
      <c r="D103" s="11" t="n"/>
      <c r="E103" s="11" t="n"/>
      <c r="F103" s="11">
        <f>IF($E103="","",IF($E103="Dead Lead","Black",IF(IF(ISNUMBER($J103),TODAY()-$J103&gt;3,FALSE),"Red",IF($E103="Reactivation Queue","Red",IF(OR($E103="First Deposit",$E103="Active"),"Green","Yellow")))))</f>
        <v/>
      </c>
      <c r="G103" s="11">
        <f>IF($F103="","",IF($F103="Red",1,IF($F103="Yellow",2,IF($F103="Green",3,4))))</f>
        <v/>
      </c>
      <c r="H103" s="14" t="n"/>
      <c r="I103" s="14" t="n"/>
      <c r="J103" s="12">
        <f>IF($E103="","",IF(AND(ISNUMBER($AD103),ISNUMBER($AE103)),MIN($AD103,$AE103),IF(ISNUMBER($AE103),$AE103,$AD103)))</f>
        <v/>
      </c>
      <c r="K103" s="11">
        <f>IF($E103="","",IF($E103="VIP Transferred",IF(N($AB103)&gt;=3,"Should be Dead Lead (3 attempts, still no deposit) - will auto-update","Day "&amp;CHOOSE(N($AB103)+1,1,2,3)&amp;" URGENT VIP check-in - help them finish KYC and lock in first deposit"),IF(AND($D103="",$E103&lt;&gt;"Dead Lead"),IF(N($T103)&gt;=3,"READY FOR DEAD LEAD (3 attempts, still no sign-up)","GET ROOBET SIGN-UP - "&amp;IFERROR(VLOOKUP($E103,Lists!$C$2:$E$20,2,FALSE),"")),IFERROR(VLOOKUP($E103,Lists!$C$2:$E$20,2,FALSE),""))))&amp;IF($AC103="Yes",IF(N($X103)&gt;=3," | VIP Team checkpoints complete - no more automatic check-ins"," | Day "&amp;CHOOSE(N($X103)+1,1,7,14)&amp;" VIP Team check-in - confirm active/depositing"),"")</f>
        <v/>
      </c>
      <c r="L103" s="11" t="n"/>
      <c r="M103" s="11" t="n"/>
      <c r="N103" s="15" t="n"/>
      <c r="O103" s="11">
        <f>IF($E103="","",IF(AND($E103="Active",$F103="Green"),"Yes","No"))</f>
        <v/>
      </c>
      <c r="P103" s="11" t="n"/>
      <c r="Q103">
        <f>IF($I103="","",ROUND(TODAY()-$I103,0))</f>
        <v/>
      </c>
      <c r="R103">
        <f>IF($B103="",0,IF(OR(AND(ISNUMBER($J103),$J103&lt;=TODAY(),$E103&lt;&gt;"Dead Lead"),AND($D103="",$E103&lt;&gt;"",$E103&lt;&gt;"Dead Lead",OR($I103="",$I103&lt;TODAY()))),1,0))</f>
        <v/>
      </c>
      <c r="S103">
        <f>IF($R103=1,SUMPRODUCT(($R$4:$R$203=1)*(($Q$4:$Q$203&gt;$Q103)+(($Q$4:$Q$203=$Q103)*(ROW($Q$4:$Q$203)&lt;ROW($Q103)))))+1,"")</f>
        <v/>
      </c>
      <c r="T103" s="11">
        <f>IF($B103="","",0)</f>
        <v/>
      </c>
      <c r="U103">
        <f>IF($B103="",0,IF($E103="Dead Lead",1,0))</f>
        <v/>
      </c>
      <c r="V103">
        <f>IF($U103=1,SUMPRODUCT(($U$4:$U$203=1)*(($J$4:$J$203&lt;$J103)+(($J$4:$J$203=$J103)*(ROW($J$4:$J$203)&lt;ROW($J103)))))+1,"")</f>
        <v/>
      </c>
      <c r="W103" s="12">
        <f>IF($B103="","","")</f>
        <v/>
      </c>
      <c r="X103" s="11">
        <f>IF($B103="","",0)</f>
        <v/>
      </c>
      <c r="Y103">
        <f>IF($B103="",0,IF(AND($R103=0,$E103&lt;&gt;"Dead Lead",ISNUMBER($J103),$J103&lt;=TODAY()+7),1,0))</f>
        <v/>
      </c>
      <c r="Z103">
        <f>IF($Y103=1,SUMPRODUCT(($Y$4:$Y$203=1)*(($J$4:$J$203&lt;$J103)+(($J$4:$J$203=$J103)*(ROW($J$4:$J$203)&lt;ROW($J103)))))+1,"")</f>
        <v/>
      </c>
      <c r="AA103" s="12">
        <f>IF($B103="","","")</f>
        <v/>
      </c>
      <c r="AB103" s="11">
        <f>IF($B103="","",0)</f>
        <v/>
      </c>
      <c r="AC103" s="11" t="n"/>
      <c r="AD103">
        <f>IF($E103="","",IF($E103="VIP Transferred",IF($AA103="","",IF(N($AB103)&gt;=3,"N/A - Closed",$AA103+CHOOSE(N($AB103)+1,1,2,3))),IF($I103="","",IF(VLOOKUP($E103,Lists!$C$2:$E$20,3,FALSE)="CLOSED","N/A - Closed",$I103+VLOOKUP($E103,Lists!$C$2:$E$20,3,FALSE)))))</f>
        <v/>
      </c>
      <c r="AE103">
        <f>IF(AND($AC103="Yes",$W103&lt;&gt;"",N($X103)&lt;3),$W103+CHOOSE(N($X103)+1,1,7,14),"")</f>
        <v/>
      </c>
      <c r="AF103" s="12">
        <f>IF($B103="","","")</f>
        <v/>
      </c>
    </row>
    <row r="104">
      <c r="A104" s="11">
        <f>IF($B104="","","YU-"&amp;TEXT(ROW()-3,"0000"))</f>
        <v/>
      </c>
      <c r="B104" s="11" t="n"/>
      <c r="C104" s="11" t="inlineStr">
        <is>
          <t>Discord</t>
        </is>
      </c>
      <c r="D104" s="11" t="n"/>
      <c r="E104" s="11" t="n"/>
      <c r="F104" s="11">
        <f>IF($E104="","",IF($E104="Dead Lead","Black",IF(IF(ISNUMBER($J104),TODAY()-$J104&gt;3,FALSE),"Red",IF($E104="Reactivation Queue","Red",IF(OR($E104="First Deposit",$E104="Active"),"Green","Yellow")))))</f>
        <v/>
      </c>
      <c r="G104" s="11">
        <f>IF($F104="","",IF($F104="Red",1,IF($F104="Yellow",2,IF($F104="Green",3,4))))</f>
        <v/>
      </c>
      <c r="H104" s="14" t="n"/>
      <c r="I104" s="14" t="n"/>
      <c r="J104" s="12">
        <f>IF($E104="","",IF(AND(ISNUMBER($AD104),ISNUMBER($AE104)),MIN($AD104,$AE104),IF(ISNUMBER($AE104),$AE104,$AD104)))</f>
        <v/>
      </c>
      <c r="K104" s="11">
        <f>IF($E104="","",IF($E104="VIP Transferred",IF(N($AB104)&gt;=3,"Should be Dead Lead (3 attempts, still no deposit) - will auto-update","Day "&amp;CHOOSE(N($AB104)+1,1,2,3)&amp;" URGENT VIP check-in - help them finish KYC and lock in first deposit"),IF(AND($D104="",$E104&lt;&gt;"Dead Lead"),IF(N($T104)&gt;=3,"READY FOR DEAD LEAD (3 attempts, still no sign-up)","GET ROOBET SIGN-UP - "&amp;IFERROR(VLOOKUP($E104,Lists!$C$2:$E$20,2,FALSE),"")),IFERROR(VLOOKUP($E104,Lists!$C$2:$E$20,2,FALSE),""))))&amp;IF($AC104="Yes",IF(N($X104)&gt;=3," | VIP Team checkpoints complete - no more automatic check-ins"," | Day "&amp;CHOOSE(N($X104)+1,1,7,14)&amp;" VIP Team check-in - confirm active/depositing"),"")</f>
        <v/>
      </c>
      <c r="L104" s="11" t="n"/>
      <c r="M104" s="11" t="n"/>
      <c r="N104" s="15" t="n"/>
      <c r="O104" s="11">
        <f>IF($E104="","",IF(AND($E104="Active",$F104="Green"),"Yes","No"))</f>
        <v/>
      </c>
      <c r="P104" s="11" t="n"/>
      <c r="Q104">
        <f>IF($I104="","",ROUND(TODAY()-$I104,0))</f>
        <v/>
      </c>
      <c r="R104">
        <f>IF($B104="",0,IF(OR(AND(ISNUMBER($J104),$J104&lt;=TODAY(),$E104&lt;&gt;"Dead Lead"),AND($D104="",$E104&lt;&gt;"",$E104&lt;&gt;"Dead Lead",OR($I104="",$I104&lt;TODAY()))),1,0))</f>
        <v/>
      </c>
      <c r="S104">
        <f>IF($R104=1,SUMPRODUCT(($R$4:$R$203=1)*(($Q$4:$Q$203&gt;$Q104)+(($Q$4:$Q$203=$Q104)*(ROW($Q$4:$Q$203)&lt;ROW($Q104)))))+1,"")</f>
        <v/>
      </c>
      <c r="T104" s="11">
        <f>IF($B104="","",0)</f>
        <v/>
      </c>
      <c r="U104">
        <f>IF($B104="",0,IF($E104="Dead Lead",1,0))</f>
        <v/>
      </c>
      <c r="V104">
        <f>IF($U104=1,SUMPRODUCT(($U$4:$U$203=1)*(($J$4:$J$203&lt;$J104)+(($J$4:$J$203=$J104)*(ROW($J$4:$J$203)&lt;ROW($J104)))))+1,"")</f>
        <v/>
      </c>
      <c r="W104" s="12">
        <f>IF($B104="","","")</f>
        <v/>
      </c>
      <c r="X104" s="11">
        <f>IF($B104="","",0)</f>
        <v/>
      </c>
      <c r="Y104">
        <f>IF($B104="",0,IF(AND($R104=0,$E104&lt;&gt;"Dead Lead",ISNUMBER($J104),$J104&lt;=TODAY()+7),1,0))</f>
        <v/>
      </c>
      <c r="Z104">
        <f>IF($Y104=1,SUMPRODUCT(($Y$4:$Y$203=1)*(($J$4:$J$203&lt;$J104)+(($J$4:$J$203=$J104)*(ROW($J$4:$J$203)&lt;ROW($J104)))))+1,"")</f>
        <v/>
      </c>
      <c r="AA104" s="12">
        <f>IF($B104="","","")</f>
        <v/>
      </c>
      <c r="AB104" s="11">
        <f>IF($B104="","",0)</f>
        <v/>
      </c>
      <c r="AC104" s="11" t="n"/>
      <c r="AD104">
        <f>IF($E104="","",IF($E104="VIP Transferred",IF($AA104="","",IF(N($AB104)&gt;=3,"N/A - Closed",$AA104+CHOOSE(N($AB104)+1,1,2,3))),IF($I104="","",IF(VLOOKUP($E104,Lists!$C$2:$E$20,3,FALSE)="CLOSED","N/A - Closed",$I104+VLOOKUP($E104,Lists!$C$2:$E$20,3,FALSE)))))</f>
        <v/>
      </c>
      <c r="AE104">
        <f>IF(AND($AC104="Yes",$W104&lt;&gt;"",N($X104)&lt;3),$W104+CHOOSE(N($X104)+1,1,7,14),"")</f>
        <v/>
      </c>
      <c r="AF104" s="12">
        <f>IF($B104="","","")</f>
        <v/>
      </c>
    </row>
    <row r="105">
      <c r="A105" s="11">
        <f>IF($B105="","","YU-"&amp;TEXT(ROW()-3,"0000"))</f>
        <v/>
      </c>
      <c r="B105" s="11" t="n"/>
      <c r="C105" s="11" t="inlineStr">
        <is>
          <t>Discord</t>
        </is>
      </c>
      <c r="D105" s="11" t="n"/>
      <c r="E105" s="11" t="n"/>
      <c r="F105" s="11">
        <f>IF($E105="","",IF($E105="Dead Lead","Black",IF(IF(ISNUMBER($J105),TODAY()-$J105&gt;3,FALSE),"Red",IF($E105="Reactivation Queue","Red",IF(OR($E105="First Deposit",$E105="Active"),"Green","Yellow")))))</f>
        <v/>
      </c>
      <c r="G105" s="11">
        <f>IF($F105="","",IF($F105="Red",1,IF($F105="Yellow",2,IF($F105="Green",3,4))))</f>
        <v/>
      </c>
      <c r="H105" s="14" t="n"/>
      <c r="I105" s="14" t="n"/>
      <c r="J105" s="12">
        <f>IF($E105="","",IF(AND(ISNUMBER($AD105),ISNUMBER($AE105)),MIN($AD105,$AE105),IF(ISNUMBER($AE105),$AE105,$AD105)))</f>
        <v/>
      </c>
      <c r="K105" s="11">
        <f>IF($E105="","",IF($E105="VIP Transferred",IF(N($AB105)&gt;=3,"Should be Dead Lead (3 attempts, still no deposit) - will auto-update","Day "&amp;CHOOSE(N($AB105)+1,1,2,3)&amp;" URGENT VIP check-in - help them finish KYC and lock in first deposit"),IF(AND($D105="",$E105&lt;&gt;"Dead Lead"),IF(N($T105)&gt;=3,"READY FOR DEAD LEAD (3 attempts, still no sign-up)","GET ROOBET SIGN-UP - "&amp;IFERROR(VLOOKUP($E105,Lists!$C$2:$E$20,2,FALSE),"")),IFERROR(VLOOKUP($E105,Lists!$C$2:$E$20,2,FALSE),""))))&amp;IF($AC105="Yes",IF(N($X105)&gt;=3," | VIP Team checkpoints complete - no more automatic check-ins"," | Day "&amp;CHOOSE(N($X105)+1,1,7,14)&amp;" VIP Team check-in - confirm active/depositing"),"")</f>
        <v/>
      </c>
      <c r="L105" s="11" t="n"/>
      <c r="M105" s="11" t="n"/>
      <c r="N105" s="15" t="n"/>
      <c r="O105" s="11">
        <f>IF($E105="","",IF(AND($E105="Active",$F105="Green"),"Yes","No"))</f>
        <v/>
      </c>
      <c r="P105" s="11" t="n"/>
      <c r="Q105">
        <f>IF($I105="","",ROUND(TODAY()-$I105,0))</f>
        <v/>
      </c>
      <c r="R105">
        <f>IF($B105="",0,IF(OR(AND(ISNUMBER($J105),$J105&lt;=TODAY(),$E105&lt;&gt;"Dead Lead"),AND($D105="",$E105&lt;&gt;"",$E105&lt;&gt;"Dead Lead",OR($I105="",$I105&lt;TODAY()))),1,0))</f>
        <v/>
      </c>
      <c r="S105">
        <f>IF($R105=1,SUMPRODUCT(($R$4:$R$203=1)*(($Q$4:$Q$203&gt;$Q105)+(($Q$4:$Q$203=$Q105)*(ROW($Q$4:$Q$203)&lt;ROW($Q105)))))+1,"")</f>
        <v/>
      </c>
      <c r="T105" s="11">
        <f>IF($B105="","",0)</f>
        <v/>
      </c>
      <c r="U105">
        <f>IF($B105="",0,IF($E105="Dead Lead",1,0))</f>
        <v/>
      </c>
      <c r="V105">
        <f>IF($U105=1,SUMPRODUCT(($U$4:$U$203=1)*(($J$4:$J$203&lt;$J105)+(($J$4:$J$203=$J105)*(ROW($J$4:$J$203)&lt;ROW($J105)))))+1,"")</f>
        <v/>
      </c>
      <c r="W105" s="12">
        <f>IF($B105="","","")</f>
        <v/>
      </c>
      <c r="X105" s="11">
        <f>IF($B105="","",0)</f>
        <v/>
      </c>
      <c r="Y105">
        <f>IF($B105="",0,IF(AND($R105=0,$E105&lt;&gt;"Dead Lead",ISNUMBER($J105),$J105&lt;=TODAY()+7),1,0))</f>
        <v/>
      </c>
      <c r="Z105">
        <f>IF($Y105=1,SUMPRODUCT(($Y$4:$Y$203=1)*(($J$4:$J$203&lt;$J105)+(($J$4:$J$203=$J105)*(ROW($J$4:$J$203)&lt;ROW($J105)))))+1,"")</f>
        <v/>
      </c>
      <c r="AA105" s="12">
        <f>IF($B105="","","")</f>
        <v/>
      </c>
      <c r="AB105" s="11">
        <f>IF($B105="","",0)</f>
        <v/>
      </c>
      <c r="AC105" s="11" t="n"/>
      <c r="AD105">
        <f>IF($E105="","",IF($E105="VIP Transferred",IF($AA105="","",IF(N($AB105)&gt;=3,"N/A - Closed",$AA105+CHOOSE(N($AB105)+1,1,2,3))),IF($I105="","",IF(VLOOKUP($E105,Lists!$C$2:$E$20,3,FALSE)="CLOSED","N/A - Closed",$I105+VLOOKUP($E105,Lists!$C$2:$E$20,3,FALSE)))))</f>
        <v/>
      </c>
      <c r="AE105">
        <f>IF(AND($AC105="Yes",$W105&lt;&gt;"",N($X105)&lt;3),$W105+CHOOSE(N($X105)+1,1,7,14),"")</f>
        <v/>
      </c>
      <c r="AF105" s="12">
        <f>IF($B105="","","")</f>
        <v/>
      </c>
    </row>
    <row r="106">
      <c r="A106" s="11">
        <f>IF($B106="","","YU-"&amp;TEXT(ROW()-3,"0000"))</f>
        <v/>
      </c>
      <c r="B106" s="11" t="n"/>
      <c r="C106" s="11" t="inlineStr">
        <is>
          <t>Discord</t>
        </is>
      </c>
      <c r="D106" s="11" t="n"/>
      <c r="E106" s="11" t="n"/>
      <c r="F106" s="11">
        <f>IF($E106="","",IF($E106="Dead Lead","Black",IF(IF(ISNUMBER($J106),TODAY()-$J106&gt;3,FALSE),"Red",IF($E106="Reactivation Queue","Red",IF(OR($E106="First Deposit",$E106="Active"),"Green","Yellow")))))</f>
        <v/>
      </c>
      <c r="G106" s="11">
        <f>IF($F106="","",IF($F106="Red",1,IF($F106="Yellow",2,IF($F106="Green",3,4))))</f>
        <v/>
      </c>
      <c r="H106" s="14" t="n"/>
      <c r="I106" s="14" t="n"/>
      <c r="J106" s="12">
        <f>IF($E106="","",IF(AND(ISNUMBER($AD106),ISNUMBER($AE106)),MIN($AD106,$AE106),IF(ISNUMBER($AE106),$AE106,$AD106)))</f>
        <v/>
      </c>
      <c r="K106" s="11">
        <f>IF($E106="","",IF($E106="VIP Transferred",IF(N($AB106)&gt;=3,"Should be Dead Lead (3 attempts, still no deposit) - will auto-update","Day "&amp;CHOOSE(N($AB106)+1,1,2,3)&amp;" URGENT VIP check-in - help them finish KYC and lock in first deposit"),IF(AND($D106="",$E106&lt;&gt;"Dead Lead"),IF(N($T106)&gt;=3,"READY FOR DEAD LEAD (3 attempts, still no sign-up)","GET ROOBET SIGN-UP - "&amp;IFERROR(VLOOKUP($E106,Lists!$C$2:$E$20,2,FALSE),"")),IFERROR(VLOOKUP($E106,Lists!$C$2:$E$20,2,FALSE),""))))&amp;IF($AC106="Yes",IF(N($X106)&gt;=3," | VIP Team checkpoints complete - no more automatic check-ins"," | Day "&amp;CHOOSE(N($X106)+1,1,7,14)&amp;" VIP Team check-in - confirm active/depositing"),"")</f>
        <v/>
      </c>
      <c r="L106" s="11" t="n"/>
      <c r="M106" s="11" t="n"/>
      <c r="N106" s="15" t="n"/>
      <c r="O106" s="11">
        <f>IF($E106="","",IF(AND($E106="Active",$F106="Green"),"Yes","No"))</f>
        <v/>
      </c>
      <c r="P106" s="11" t="n"/>
      <c r="Q106">
        <f>IF($I106="","",ROUND(TODAY()-$I106,0))</f>
        <v/>
      </c>
      <c r="R106">
        <f>IF($B106="",0,IF(OR(AND(ISNUMBER($J106),$J106&lt;=TODAY(),$E106&lt;&gt;"Dead Lead"),AND($D106="",$E106&lt;&gt;"",$E106&lt;&gt;"Dead Lead",OR($I106="",$I106&lt;TODAY()))),1,0))</f>
        <v/>
      </c>
      <c r="S106">
        <f>IF($R106=1,SUMPRODUCT(($R$4:$R$203=1)*(($Q$4:$Q$203&gt;$Q106)+(($Q$4:$Q$203=$Q106)*(ROW($Q$4:$Q$203)&lt;ROW($Q106)))))+1,"")</f>
        <v/>
      </c>
      <c r="T106" s="11">
        <f>IF($B106="","",0)</f>
        <v/>
      </c>
      <c r="U106">
        <f>IF($B106="",0,IF($E106="Dead Lead",1,0))</f>
        <v/>
      </c>
      <c r="V106">
        <f>IF($U106=1,SUMPRODUCT(($U$4:$U$203=1)*(($J$4:$J$203&lt;$J106)+(($J$4:$J$203=$J106)*(ROW($J$4:$J$203)&lt;ROW($J106)))))+1,"")</f>
        <v/>
      </c>
      <c r="W106" s="12">
        <f>IF($B106="","","")</f>
        <v/>
      </c>
      <c r="X106" s="11">
        <f>IF($B106="","",0)</f>
        <v/>
      </c>
      <c r="Y106">
        <f>IF($B106="",0,IF(AND($R106=0,$E106&lt;&gt;"Dead Lead",ISNUMBER($J106),$J106&lt;=TODAY()+7),1,0))</f>
        <v/>
      </c>
      <c r="Z106">
        <f>IF($Y106=1,SUMPRODUCT(($Y$4:$Y$203=1)*(($J$4:$J$203&lt;$J106)+(($J$4:$J$203=$J106)*(ROW($J$4:$J$203)&lt;ROW($J106)))))+1,"")</f>
        <v/>
      </c>
      <c r="AA106" s="12">
        <f>IF($B106="","","")</f>
        <v/>
      </c>
      <c r="AB106" s="11">
        <f>IF($B106="","",0)</f>
        <v/>
      </c>
      <c r="AC106" s="11" t="n"/>
      <c r="AD106">
        <f>IF($E106="","",IF($E106="VIP Transferred",IF($AA106="","",IF(N($AB106)&gt;=3,"N/A - Closed",$AA106+CHOOSE(N($AB106)+1,1,2,3))),IF($I106="","",IF(VLOOKUP($E106,Lists!$C$2:$E$20,3,FALSE)="CLOSED","N/A - Closed",$I106+VLOOKUP($E106,Lists!$C$2:$E$20,3,FALSE)))))</f>
        <v/>
      </c>
      <c r="AE106">
        <f>IF(AND($AC106="Yes",$W106&lt;&gt;"",N($X106)&lt;3),$W106+CHOOSE(N($X106)+1,1,7,14),"")</f>
        <v/>
      </c>
      <c r="AF106" s="12">
        <f>IF($B106="","","")</f>
        <v/>
      </c>
    </row>
    <row r="107">
      <c r="A107" s="11">
        <f>IF($B107="","","YU-"&amp;TEXT(ROW()-3,"0000"))</f>
        <v/>
      </c>
      <c r="B107" s="11" t="n"/>
      <c r="C107" s="11" t="inlineStr">
        <is>
          <t>Discord</t>
        </is>
      </c>
      <c r="D107" s="11" t="n"/>
      <c r="E107" s="11" t="n"/>
      <c r="F107" s="11">
        <f>IF($E107="","",IF($E107="Dead Lead","Black",IF(IF(ISNUMBER($J107),TODAY()-$J107&gt;3,FALSE),"Red",IF($E107="Reactivation Queue","Red",IF(OR($E107="First Deposit",$E107="Active"),"Green","Yellow")))))</f>
        <v/>
      </c>
      <c r="G107" s="11">
        <f>IF($F107="","",IF($F107="Red",1,IF($F107="Yellow",2,IF($F107="Green",3,4))))</f>
        <v/>
      </c>
      <c r="H107" s="14" t="n"/>
      <c r="I107" s="14" t="n"/>
      <c r="J107" s="12">
        <f>IF($E107="","",IF(AND(ISNUMBER($AD107),ISNUMBER($AE107)),MIN($AD107,$AE107),IF(ISNUMBER($AE107),$AE107,$AD107)))</f>
        <v/>
      </c>
      <c r="K107" s="11">
        <f>IF($E107="","",IF($E107="VIP Transferred",IF(N($AB107)&gt;=3,"Should be Dead Lead (3 attempts, still no deposit) - will auto-update","Day "&amp;CHOOSE(N($AB107)+1,1,2,3)&amp;" URGENT VIP check-in - help them finish KYC and lock in first deposit"),IF(AND($D107="",$E107&lt;&gt;"Dead Lead"),IF(N($T107)&gt;=3,"READY FOR DEAD LEAD (3 attempts, still no sign-up)","GET ROOBET SIGN-UP - "&amp;IFERROR(VLOOKUP($E107,Lists!$C$2:$E$20,2,FALSE),"")),IFERROR(VLOOKUP($E107,Lists!$C$2:$E$20,2,FALSE),""))))&amp;IF($AC107="Yes",IF(N($X107)&gt;=3," | VIP Team checkpoints complete - no more automatic check-ins"," | Day "&amp;CHOOSE(N($X107)+1,1,7,14)&amp;" VIP Team check-in - confirm active/depositing"),"")</f>
        <v/>
      </c>
      <c r="L107" s="11" t="n"/>
      <c r="M107" s="11" t="n"/>
      <c r="N107" s="15" t="n"/>
      <c r="O107" s="11">
        <f>IF($E107="","",IF(AND($E107="Active",$F107="Green"),"Yes","No"))</f>
        <v/>
      </c>
      <c r="P107" s="11" t="n"/>
      <c r="Q107">
        <f>IF($I107="","",ROUND(TODAY()-$I107,0))</f>
        <v/>
      </c>
      <c r="R107">
        <f>IF($B107="",0,IF(OR(AND(ISNUMBER($J107),$J107&lt;=TODAY(),$E107&lt;&gt;"Dead Lead"),AND($D107="",$E107&lt;&gt;"",$E107&lt;&gt;"Dead Lead",OR($I107="",$I107&lt;TODAY()))),1,0))</f>
        <v/>
      </c>
      <c r="S107">
        <f>IF($R107=1,SUMPRODUCT(($R$4:$R$203=1)*(($Q$4:$Q$203&gt;$Q107)+(($Q$4:$Q$203=$Q107)*(ROW($Q$4:$Q$203)&lt;ROW($Q107)))))+1,"")</f>
        <v/>
      </c>
      <c r="T107" s="11">
        <f>IF($B107="","",0)</f>
        <v/>
      </c>
      <c r="U107">
        <f>IF($B107="",0,IF($E107="Dead Lead",1,0))</f>
        <v/>
      </c>
      <c r="V107">
        <f>IF($U107=1,SUMPRODUCT(($U$4:$U$203=1)*(($J$4:$J$203&lt;$J107)+(($J$4:$J$203=$J107)*(ROW($J$4:$J$203)&lt;ROW($J107)))))+1,"")</f>
        <v/>
      </c>
      <c r="W107" s="12">
        <f>IF($B107="","","")</f>
        <v/>
      </c>
      <c r="X107" s="11">
        <f>IF($B107="","",0)</f>
        <v/>
      </c>
      <c r="Y107">
        <f>IF($B107="",0,IF(AND($R107=0,$E107&lt;&gt;"Dead Lead",ISNUMBER($J107),$J107&lt;=TODAY()+7),1,0))</f>
        <v/>
      </c>
      <c r="Z107">
        <f>IF($Y107=1,SUMPRODUCT(($Y$4:$Y$203=1)*(($J$4:$J$203&lt;$J107)+(($J$4:$J$203=$J107)*(ROW($J$4:$J$203)&lt;ROW($J107)))))+1,"")</f>
        <v/>
      </c>
      <c r="AA107" s="12">
        <f>IF($B107="","","")</f>
        <v/>
      </c>
      <c r="AB107" s="11">
        <f>IF($B107="","",0)</f>
        <v/>
      </c>
      <c r="AC107" s="11" t="n"/>
      <c r="AD107">
        <f>IF($E107="","",IF($E107="VIP Transferred",IF($AA107="","",IF(N($AB107)&gt;=3,"N/A - Closed",$AA107+CHOOSE(N($AB107)+1,1,2,3))),IF($I107="","",IF(VLOOKUP($E107,Lists!$C$2:$E$20,3,FALSE)="CLOSED","N/A - Closed",$I107+VLOOKUP($E107,Lists!$C$2:$E$20,3,FALSE)))))</f>
        <v/>
      </c>
      <c r="AE107">
        <f>IF(AND($AC107="Yes",$W107&lt;&gt;"",N($X107)&lt;3),$W107+CHOOSE(N($X107)+1,1,7,14),"")</f>
        <v/>
      </c>
      <c r="AF107" s="12">
        <f>IF($B107="","","")</f>
        <v/>
      </c>
    </row>
    <row r="108">
      <c r="A108" s="11">
        <f>IF($B108="","","YU-"&amp;TEXT(ROW()-3,"0000"))</f>
        <v/>
      </c>
      <c r="B108" s="11" t="n"/>
      <c r="C108" s="11" t="inlineStr">
        <is>
          <t>Discord</t>
        </is>
      </c>
      <c r="D108" s="11" t="n"/>
      <c r="E108" s="11" t="n"/>
      <c r="F108" s="11">
        <f>IF($E108="","",IF($E108="Dead Lead","Black",IF(IF(ISNUMBER($J108),TODAY()-$J108&gt;3,FALSE),"Red",IF($E108="Reactivation Queue","Red",IF(OR($E108="First Deposit",$E108="Active"),"Green","Yellow")))))</f>
        <v/>
      </c>
      <c r="G108" s="11">
        <f>IF($F108="","",IF($F108="Red",1,IF($F108="Yellow",2,IF($F108="Green",3,4))))</f>
        <v/>
      </c>
      <c r="H108" s="14" t="n"/>
      <c r="I108" s="14" t="n"/>
      <c r="J108" s="12">
        <f>IF($E108="","",IF(AND(ISNUMBER($AD108),ISNUMBER($AE108)),MIN($AD108,$AE108),IF(ISNUMBER($AE108),$AE108,$AD108)))</f>
        <v/>
      </c>
      <c r="K108" s="11">
        <f>IF($E108="","",IF($E108="VIP Transferred",IF(N($AB108)&gt;=3,"Should be Dead Lead (3 attempts, still no deposit) - will auto-update","Day "&amp;CHOOSE(N($AB108)+1,1,2,3)&amp;" URGENT VIP check-in - help them finish KYC and lock in first deposit"),IF(AND($D108="",$E108&lt;&gt;"Dead Lead"),IF(N($T108)&gt;=3,"READY FOR DEAD LEAD (3 attempts, still no sign-up)","GET ROOBET SIGN-UP - "&amp;IFERROR(VLOOKUP($E108,Lists!$C$2:$E$20,2,FALSE),"")),IFERROR(VLOOKUP($E108,Lists!$C$2:$E$20,2,FALSE),""))))&amp;IF($AC108="Yes",IF(N($X108)&gt;=3," | VIP Team checkpoints complete - no more automatic check-ins"," | Day "&amp;CHOOSE(N($X108)+1,1,7,14)&amp;" VIP Team check-in - confirm active/depositing"),"")</f>
        <v/>
      </c>
      <c r="L108" s="11" t="n"/>
      <c r="M108" s="11" t="n"/>
      <c r="N108" s="15" t="n"/>
      <c r="O108" s="11">
        <f>IF($E108="","",IF(AND($E108="Active",$F108="Green"),"Yes","No"))</f>
        <v/>
      </c>
      <c r="P108" s="11" t="n"/>
      <c r="Q108">
        <f>IF($I108="","",ROUND(TODAY()-$I108,0))</f>
        <v/>
      </c>
      <c r="R108">
        <f>IF($B108="",0,IF(OR(AND(ISNUMBER($J108),$J108&lt;=TODAY(),$E108&lt;&gt;"Dead Lead"),AND($D108="",$E108&lt;&gt;"",$E108&lt;&gt;"Dead Lead",OR($I108="",$I108&lt;TODAY()))),1,0))</f>
        <v/>
      </c>
      <c r="S108">
        <f>IF($R108=1,SUMPRODUCT(($R$4:$R$203=1)*(($Q$4:$Q$203&gt;$Q108)+(($Q$4:$Q$203=$Q108)*(ROW($Q$4:$Q$203)&lt;ROW($Q108)))))+1,"")</f>
        <v/>
      </c>
      <c r="T108" s="11">
        <f>IF($B108="","",0)</f>
        <v/>
      </c>
      <c r="U108">
        <f>IF($B108="",0,IF($E108="Dead Lead",1,0))</f>
        <v/>
      </c>
      <c r="V108">
        <f>IF($U108=1,SUMPRODUCT(($U$4:$U$203=1)*(($J$4:$J$203&lt;$J108)+(($J$4:$J$203=$J108)*(ROW($J$4:$J$203)&lt;ROW($J108)))))+1,"")</f>
        <v/>
      </c>
      <c r="W108" s="12">
        <f>IF($B108="","","")</f>
        <v/>
      </c>
      <c r="X108" s="11">
        <f>IF($B108="","",0)</f>
        <v/>
      </c>
      <c r="Y108">
        <f>IF($B108="",0,IF(AND($R108=0,$E108&lt;&gt;"Dead Lead",ISNUMBER($J108),$J108&lt;=TODAY()+7),1,0))</f>
        <v/>
      </c>
      <c r="Z108">
        <f>IF($Y108=1,SUMPRODUCT(($Y$4:$Y$203=1)*(($J$4:$J$203&lt;$J108)+(($J$4:$J$203=$J108)*(ROW($J$4:$J$203)&lt;ROW($J108)))))+1,"")</f>
        <v/>
      </c>
      <c r="AA108" s="12">
        <f>IF($B108="","","")</f>
        <v/>
      </c>
      <c r="AB108" s="11">
        <f>IF($B108="","",0)</f>
        <v/>
      </c>
      <c r="AC108" s="11" t="n"/>
      <c r="AD108">
        <f>IF($E108="","",IF($E108="VIP Transferred",IF($AA108="","",IF(N($AB108)&gt;=3,"N/A - Closed",$AA108+CHOOSE(N($AB108)+1,1,2,3))),IF($I108="","",IF(VLOOKUP($E108,Lists!$C$2:$E$20,3,FALSE)="CLOSED","N/A - Closed",$I108+VLOOKUP($E108,Lists!$C$2:$E$20,3,FALSE)))))</f>
        <v/>
      </c>
      <c r="AE108">
        <f>IF(AND($AC108="Yes",$W108&lt;&gt;"",N($X108)&lt;3),$W108+CHOOSE(N($X108)+1,1,7,14),"")</f>
        <v/>
      </c>
      <c r="AF108" s="12">
        <f>IF($B108="","","")</f>
        <v/>
      </c>
    </row>
    <row r="109">
      <c r="A109" s="11">
        <f>IF($B109="","","YU-"&amp;TEXT(ROW()-3,"0000"))</f>
        <v/>
      </c>
      <c r="B109" s="11" t="n"/>
      <c r="C109" s="11" t="inlineStr">
        <is>
          <t>Discord</t>
        </is>
      </c>
      <c r="D109" s="11" t="n"/>
      <c r="E109" s="11" t="n"/>
      <c r="F109" s="11">
        <f>IF($E109="","",IF($E109="Dead Lead","Black",IF(IF(ISNUMBER($J109),TODAY()-$J109&gt;3,FALSE),"Red",IF($E109="Reactivation Queue","Red",IF(OR($E109="First Deposit",$E109="Active"),"Green","Yellow")))))</f>
        <v/>
      </c>
      <c r="G109" s="11">
        <f>IF($F109="","",IF($F109="Red",1,IF($F109="Yellow",2,IF($F109="Green",3,4))))</f>
        <v/>
      </c>
      <c r="H109" s="14" t="n"/>
      <c r="I109" s="14" t="n"/>
      <c r="J109" s="12">
        <f>IF($E109="","",IF(AND(ISNUMBER($AD109),ISNUMBER($AE109)),MIN($AD109,$AE109),IF(ISNUMBER($AE109),$AE109,$AD109)))</f>
        <v/>
      </c>
      <c r="K109" s="11">
        <f>IF($E109="","",IF($E109="VIP Transferred",IF(N($AB109)&gt;=3,"Should be Dead Lead (3 attempts, still no deposit) - will auto-update","Day "&amp;CHOOSE(N($AB109)+1,1,2,3)&amp;" URGENT VIP check-in - help them finish KYC and lock in first deposit"),IF(AND($D109="",$E109&lt;&gt;"Dead Lead"),IF(N($T109)&gt;=3,"READY FOR DEAD LEAD (3 attempts, still no sign-up)","GET ROOBET SIGN-UP - "&amp;IFERROR(VLOOKUP($E109,Lists!$C$2:$E$20,2,FALSE),"")),IFERROR(VLOOKUP($E109,Lists!$C$2:$E$20,2,FALSE),""))))&amp;IF($AC109="Yes",IF(N($X109)&gt;=3," | VIP Team checkpoints complete - no more automatic check-ins"," | Day "&amp;CHOOSE(N($X109)+1,1,7,14)&amp;" VIP Team check-in - confirm active/depositing"),"")</f>
        <v/>
      </c>
      <c r="L109" s="11" t="n"/>
      <c r="M109" s="11" t="n"/>
      <c r="N109" s="15" t="n"/>
      <c r="O109" s="11">
        <f>IF($E109="","",IF(AND($E109="Active",$F109="Green"),"Yes","No"))</f>
        <v/>
      </c>
      <c r="P109" s="11" t="n"/>
      <c r="Q109">
        <f>IF($I109="","",ROUND(TODAY()-$I109,0))</f>
        <v/>
      </c>
      <c r="R109">
        <f>IF($B109="",0,IF(OR(AND(ISNUMBER($J109),$J109&lt;=TODAY(),$E109&lt;&gt;"Dead Lead"),AND($D109="",$E109&lt;&gt;"",$E109&lt;&gt;"Dead Lead",OR($I109="",$I109&lt;TODAY()))),1,0))</f>
        <v/>
      </c>
      <c r="S109">
        <f>IF($R109=1,SUMPRODUCT(($R$4:$R$203=1)*(($Q$4:$Q$203&gt;$Q109)+(($Q$4:$Q$203=$Q109)*(ROW($Q$4:$Q$203)&lt;ROW($Q109)))))+1,"")</f>
        <v/>
      </c>
      <c r="T109" s="11">
        <f>IF($B109="","",0)</f>
        <v/>
      </c>
      <c r="U109">
        <f>IF($B109="",0,IF($E109="Dead Lead",1,0))</f>
        <v/>
      </c>
      <c r="V109">
        <f>IF($U109=1,SUMPRODUCT(($U$4:$U$203=1)*(($J$4:$J$203&lt;$J109)+(($J$4:$J$203=$J109)*(ROW($J$4:$J$203)&lt;ROW($J109)))))+1,"")</f>
        <v/>
      </c>
      <c r="W109" s="12">
        <f>IF($B109="","","")</f>
        <v/>
      </c>
      <c r="X109" s="11">
        <f>IF($B109="","",0)</f>
        <v/>
      </c>
      <c r="Y109">
        <f>IF($B109="",0,IF(AND($R109=0,$E109&lt;&gt;"Dead Lead",ISNUMBER($J109),$J109&lt;=TODAY()+7),1,0))</f>
        <v/>
      </c>
      <c r="Z109">
        <f>IF($Y109=1,SUMPRODUCT(($Y$4:$Y$203=1)*(($J$4:$J$203&lt;$J109)+(($J$4:$J$203=$J109)*(ROW($J$4:$J$203)&lt;ROW($J109)))))+1,"")</f>
        <v/>
      </c>
      <c r="AA109" s="12">
        <f>IF($B109="","","")</f>
        <v/>
      </c>
      <c r="AB109" s="11">
        <f>IF($B109="","",0)</f>
        <v/>
      </c>
      <c r="AC109" s="11" t="n"/>
      <c r="AD109">
        <f>IF($E109="","",IF($E109="VIP Transferred",IF($AA109="","",IF(N($AB109)&gt;=3,"N/A - Closed",$AA109+CHOOSE(N($AB109)+1,1,2,3))),IF($I109="","",IF(VLOOKUP($E109,Lists!$C$2:$E$20,3,FALSE)="CLOSED","N/A - Closed",$I109+VLOOKUP($E109,Lists!$C$2:$E$20,3,FALSE)))))</f>
        <v/>
      </c>
      <c r="AE109">
        <f>IF(AND($AC109="Yes",$W109&lt;&gt;"",N($X109)&lt;3),$W109+CHOOSE(N($X109)+1,1,7,14),"")</f>
        <v/>
      </c>
      <c r="AF109" s="12">
        <f>IF($B109="","","")</f>
        <v/>
      </c>
    </row>
    <row r="110">
      <c r="A110" s="11">
        <f>IF($B110="","","YU-"&amp;TEXT(ROW()-3,"0000"))</f>
        <v/>
      </c>
      <c r="B110" s="11" t="n"/>
      <c r="C110" s="11" t="inlineStr">
        <is>
          <t>Discord</t>
        </is>
      </c>
      <c r="D110" s="11" t="n"/>
      <c r="E110" s="11" t="n"/>
      <c r="F110" s="11">
        <f>IF($E110="","",IF($E110="Dead Lead","Black",IF(IF(ISNUMBER($J110),TODAY()-$J110&gt;3,FALSE),"Red",IF($E110="Reactivation Queue","Red",IF(OR($E110="First Deposit",$E110="Active"),"Green","Yellow")))))</f>
        <v/>
      </c>
      <c r="G110" s="11">
        <f>IF($F110="","",IF($F110="Red",1,IF($F110="Yellow",2,IF($F110="Green",3,4))))</f>
        <v/>
      </c>
      <c r="H110" s="14" t="n"/>
      <c r="I110" s="14" t="n"/>
      <c r="J110" s="12">
        <f>IF($E110="","",IF(AND(ISNUMBER($AD110),ISNUMBER($AE110)),MIN($AD110,$AE110),IF(ISNUMBER($AE110),$AE110,$AD110)))</f>
        <v/>
      </c>
      <c r="K110" s="11">
        <f>IF($E110="","",IF($E110="VIP Transferred",IF(N($AB110)&gt;=3,"Should be Dead Lead (3 attempts, still no deposit) - will auto-update","Day "&amp;CHOOSE(N($AB110)+1,1,2,3)&amp;" URGENT VIP check-in - help them finish KYC and lock in first deposit"),IF(AND($D110="",$E110&lt;&gt;"Dead Lead"),IF(N($T110)&gt;=3,"READY FOR DEAD LEAD (3 attempts, still no sign-up)","GET ROOBET SIGN-UP - "&amp;IFERROR(VLOOKUP($E110,Lists!$C$2:$E$20,2,FALSE),"")),IFERROR(VLOOKUP($E110,Lists!$C$2:$E$20,2,FALSE),""))))&amp;IF($AC110="Yes",IF(N($X110)&gt;=3," | VIP Team checkpoints complete - no more automatic check-ins"," | Day "&amp;CHOOSE(N($X110)+1,1,7,14)&amp;" VIP Team check-in - confirm active/depositing"),"")</f>
        <v/>
      </c>
      <c r="L110" s="11" t="n"/>
      <c r="M110" s="11" t="n"/>
      <c r="N110" s="15" t="n"/>
      <c r="O110" s="11">
        <f>IF($E110="","",IF(AND($E110="Active",$F110="Green"),"Yes","No"))</f>
        <v/>
      </c>
      <c r="P110" s="11" t="n"/>
      <c r="Q110">
        <f>IF($I110="","",ROUND(TODAY()-$I110,0))</f>
        <v/>
      </c>
      <c r="R110">
        <f>IF($B110="",0,IF(OR(AND(ISNUMBER($J110),$J110&lt;=TODAY(),$E110&lt;&gt;"Dead Lead"),AND($D110="",$E110&lt;&gt;"",$E110&lt;&gt;"Dead Lead",OR($I110="",$I110&lt;TODAY()))),1,0))</f>
        <v/>
      </c>
      <c r="S110">
        <f>IF($R110=1,SUMPRODUCT(($R$4:$R$203=1)*(($Q$4:$Q$203&gt;$Q110)+(($Q$4:$Q$203=$Q110)*(ROW($Q$4:$Q$203)&lt;ROW($Q110)))))+1,"")</f>
        <v/>
      </c>
      <c r="T110" s="11">
        <f>IF($B110="","",0)</f>
        <v/>
      </c>
      <c r="U110">
        <f>IF($B110="",0,IF($E110="Dead Lead",1,0))</f>
        <v/>
      </c>
      <c r="V110">
        <f>IF($U110=1,SUMPRODUCT(($U$4:$U$203=1)*(($J$4:$J$203&lt;$J110)+(($J$4:$J$203=$J110)*(ROW($J$4:$J$203)&lt;ROW($J110)))))+1,"")</f>
        <v/>
      </c>
      <c r="W110" s="12">
        <f>IF($B110="","","")</f>
        <v/>
      </c>
      <c r="X110" s="11">
        <f>IF($B110="","",0)</f>
        <v/>
      </c>
      <c r="Y110">
        <f>IF($B110="",0,IF(AND($R110=0,$E110&lt;&gt;"Dead Lead",ISNUMBER($J110),$J110&lt;=TODAY()+7),1,0))</f>
        <v/>
      </c>
      <c r="Z110">
        <f>IF($Y110=1,SUMPRODUCT(($Y$4:$Y$203=1)*(($J$4:$J$203&lt;$J110)+(($J$4:$J$203=$J110)*(ROW($J$4:$J$203)&lt;ROW($J110)))))+1,"")</f>
        <v/>
      </c>
      <c r="AA110" s="12">
        <f>IF($B110="","","")</f>
        <v/>
      </c>
      <c r="AB110" s="11">
        <f>IF($B110="","",0)</f>
        <v/>
      </c>
      <c r="AC110" s="11" t="n"/>
      <c r="AD110">
        <f>IF($E110="","",IF($E110="VIP Transferred",IF($AA110="","",IF(N($AB110)&gt;=3,"N/A - Closed",$AA110+CHOOSE(N($AB110)+1,1,2,3))),IF($I110="","",IF(VLOOKUP($E110,Lists!$C$2:$E$20,3,FALSE)="CLOSED","N/A - Closed",$I110+VLOOKUP($E110,Lists!$C$2:$E$20,3,FALSE)))))</f>
        <v/>
      </c>
      <c r="AE110">
        <f>IF(AND($AC110="Yes",$W110&lt;&gt;"",N($X110)&lt;3),$W110+CHOOSE(N($X110)+1,1,7,14),"")</f>
        <v/>
      </c>
      <c r="AF110" s="12">
        <f>IF($B110="","","")</f>
        <v/>
      </c>
    </row>
    <row r="111">
      <c r="A111" s="11">
        <f>IF($B111="","","YU-"&amp;TEXT(ROW()-3,"0000"))</f>
        <v/>
      </c>
      <c r="B111" s="11" t="n"/>
      <c r="C111" s="11" t="inlineStr">
        <is>
          <t>Discord</t>
        </is>
      </c>
      <c r="D111" s="11" t="n"/>
      <c r="E111" s="11" t="n"/>
      <c r="F111" s="11">
        <f>IF($E111="","",IF($E111="Dead Lead","Black",IF(IF(ISNUMBER($J111),TODAY()-$J111&gt;3,FALSE),"Red",IF($E111="Reactivation Queue","Red",IF(OR($E111="First Deposit",$E111="Active"),"Green","Yellow")))))</f>
        <v/>
      </c>
      <c r="G111" s="11">
        <f>IF($F111="","",IF($F111="Red",1,IF($F111="Yellow",2,IF($F111="Green",3,4))))</f>
        <v/>
      </c>
      <c r="H111" s="14" t="n"/>
      <c r="I111" s="14" t="n"/>
      <c r="J111" s="12">
        <f>IF($E111="","",IF(AND(ISNUMBER($AD111),ISNUMBER($AE111)),MIN($AD111,$AE111),IF(ISNUMBER($AE111),$AE111,$AD111)))</f>
        <v/>
      </c>
      <c r="K111" s="11">
        <f>IF($E111="","",IF($E111="VIP Transferred",IF(N($AB111)&gt;=3,"Should be Dead Lead (3 attempts, still no deposit) - will auto-update","Day "&amp;CHOOSE(N($AB111)+1,1,2,3)&amp;" URGENT VIP check-in - help them finish KYC and lock in first deposit"),IF(AND($D111="",$E111&lt;&gt;"Dead Lead"),IF(N($T111)&gt;=3,"READY FOR DEAD LEAD (3 attempts, still no sign-up)","GET ROOBET SIGN-UP - "&amp;IFERROR(VLOOKUP($E111,Lists!$C$2:$E$20,2,FALSE),"")),IFERROR(VLOOKUP($E111,Lists!$C$2:$E$20,2,FALSE),""))))&amp;IF($AC111="Yes",IF(N($X111)&gt;=3," | VIP Team checkpoints complete - no more automatic check-ins"," | Day "&amp;CHOOSE(N($X111)+1,1,7,14)&amp;" VIP Team check-in - confirm active/depositing"),"")</f>
        <v/>
      </c>
      <c r="L111" s="11" t="n"/>
      <c r="M111" s="11" t="n"/>
      <c r="N111" s="15" t="n"/>
      <c r="O111" s="11">
        <f>IF($E111="","",IF(AND($E111="Active",$F111="Green"),"Yes","No"))</f>
        <v/>
      </c>
      <c r="P111" s="11" t="n"/>
      <c r="Q111">
        <f>IF($I111="","",ROUND(TODAY()-$I111,0))</f>
        <v/>
      </c>
      <c r="R111">
        <f>IF($B111="",0,IF(OR(AND(ISNUMBER($J111),$J111&lt;=TODAY(),$E111&lt;&gt;"Dead Lead"),AND($D111="",$E111&lt;&gt;"",$E111&lt;&gt;"Dead Lead",OR($I111="",$I111&lt;TODAY()))),1,0))</f>
        <v/>
      </c>
      <c r="S111">
        <f>IF($R111=1,SUMPRODUCT(($R$4:$R$203=1)*(($Q$4:$Q$203&gt;$Q111)+(($Q$4:$Q$203=$Q111)*(ROW($Q$4:$Q$203)&lt;ROW($Q111)))))+1,"")</f>
        <v/>
      </c>
      <c r="T111" s="11">
        <f>IF($B111="","",0)</f>
        <v/>
      </c>
      <c r="U111">
        <f>IF($B111="",0,IF($E111="Dead Lead",1,0))</f>
        <v/>
      </c>
      <c r="V111">
        <f>IF($U111=1,SUMPRODUCT(($U$4:$U$203=1)*(($J$4:$J$203&lt;$J111)+(($J$4:$J$203=$J111)*(ROW($J$4:$J$203)&lt;ROW($J111)))))+1,"")</f>
        <v/>
      </c>
      <c r="W111" s="12">
        <f>IF($B111="","","")</f>
        <v/>
      </c>
      <c r="X111" s="11">
        <f>IF($B111="","",0)</f>
        <v/>
      </c>
      <c r="Y111">
        <f>IF($B111="",0,IF(AND($R111=0,$E111&lt;&gt;"Dead Lead",ISNUMBER($J111),$J111&lt;=TODAY()+7),1,0))</f>
        <v/>
      </c>
      <c r="Z111">
        <f>IF($Y111=1,SUMPRODUCT(($Y$4:$Y$203=1)*(($J$4:$J$203&lt;$J111)+(($J$4:$J$203=$J111)*(ROW($J$4:$J$203)&lt;ROW($J111)))))+1,"")</f>
        <v/>
      </c>
      <c r="AA111" s="12">
        <f>IF($B111="","","")</f>
        <v/>
      </c>
      <c r="AB111" s="11">
        <f>IF($B111="","",0)</f>
        <v/>
      </c>
      <c r="AC111" s="11" t="n"/>
      <c r="AD111">
        <f>IF($E111="","",IF($E111="VIP Transferred",IF($AA111="","",IF(N($AB111)&gt;=3,"N/A - Closed",$AA111+CHOOSE(N($AB111)+1,1,2,3))),IF($I111="","",IF(VLOOKUP($E111,Lists!$C$2:$E$20,3,FALSE)="CLOSED","N/A - Closed",$I111+VLOOKUP($E111,Lists!$C$2:$E$20,3,FALSE)))))</f>
        <v/>
      </c>
      <c r="AE111">
        <f>IF(AND($AC111="Yes",$W111&lt;&gt;"",N($X111)&lt;3),$W111+CHOOSE(N($X111)+1,1,7,14),"")</f>
        <v/>
      </c>
      <c r="AF111" s="12">
        <f>IF($B111="","","")</f>
        <v/>
      </c>
    </row>
    <row r="112">
      <c r="A112" s="11">
        <f>IF($B112="","","YU-"&amp;TEXT(ROW()-3,"0000"))</f>
        <v/>
      </c>
      <c r="B112" s="11" t="n"/>
      <c r="C112" s="11" t="inlineStr">
        <is>
          <t>Discord</t>
        </is>
      </c>
      <c r="D112" s="11" t="n"/>
      <c r="E112" s="11" t="n"/>
      <c r="F112" s="11">
        <f>IF($E112="","",IF($E112="Dead Lead","Black",IF(IF(ISNUMBER($J112),TODAY()-$J112&gt;3,FALSE),"Red",IF($E112="Reactivation Queue","Red",IF(OR($E112="First Deposit",$E112="Active"),"Green","Yellow")))))</f>
        <v/>
      </c>
      <c r="G112" s="11">
        <f>IF($F112="","",IF($F112="Red",1,IF($F112="Yellow",2,IF($F112="Green",3,4))))</f>
        <v/>
      </c>
      <c r="H112" s="14" t="n"/>
      <c r="I112" s="14" t="n"/>
      <c r="J112" s="12">
        <f>IF($E112="","",IF(AND(ISNUMBER($AD112),ISNUMBER($AE112)),MIN($AD112,$AE112),IF(ISNUMBER($AE112),$AE112,$AD112)))</f>
        <v/>
      </c>
      <c r="K112" s="11">
        <f>IF($E112="","",IF($E112="VIP Transferred",IF(N($AB112)&gt;=3,"Should be Dead Lead (3 attempts, still no deposit) - will auto-update","Day "&amp;CHOOSE(N($AB112)+1,1,2,3)&amp;" URGENT VIP check-in - help them finish KYC and lock in first deposit"),IF(AND($D112="",$E112&lt;&gt;"Dead Lead"),IF(N($T112)&gt;=3,"READY FOR DEAD LEAD (3 attempts, still no sign-up)","GET ROOBET SIGN-UP - "&amp;IFERROR(VLOOKUP($E112,Lists!$C$2:$E$20,2,FALSE),"")),IFERROR(VLOOKUP($E112,Lists!$C$2:$E$20,2,FALSE),""))))&amp;IF($AC112="Yes",IF(N($X112)&gt;=3," | VIP Team checkpoints complete - no more automatic check-ins"," | Day "&amp;CHOOSE(N($X112)+1,1,7,14)&amp;" VIP Team check-in - confirm active/depositing"),"")</f>
        <v/>
      </c>
      <c r="L112" s="11" t="n"/>
      <c r="M112" s="11" t="n"/>
      <c r="N112" s="15" t="n"/>
      <c r="O112" s="11">
        <f>IF($E112="","",IF(AND($E112="Active",$F112="Green"),"Yes","No"))</f>
        <v/>
      </c>
      <c r="P112" s="11" t="n"/>
      <c r="Q112">
        <f>IF($I112="","",ROUND(TODAY()-$I112,0))</f>
        <v/>
      </c>
      <c r="R112">
        <f>IF($B112="",0,IF(OR(AND(ISNUMBER($J112),$J112&lt;=TODAY(),$E112&lt;&gt;"Dead Lead"),AND($D112="",$E112&lt;&gt;"",$E112&lt;&gt;"Dead Lead",OR($I112="",$I112&lt;TODAY()))),1,0))</f>
        <v/>
      </c>
      <c r="S112">
        <f>IF($R112=1,SUMPRODUCT(($R$4:$R$203=1)*(($Q$4:$Q$203&gt;$Q112)+(($Q$4:$Q$203=$Q112)*(ROW($Q$4:$Q$203)&lt;ROW($Q112)))))+1,"")</f>
        <v/>
      </c>
      <c r="T112" s="11">
        <f>IF($B112="","",0)</f>
        <v/>
      </c>
      <c r="U112">
        <f>IF($B112="",0,IF($E112="Dead Lead",1,0))</f>
        <v/>
      </c>
      <c r="V112">
        <f>IF($U112=1,SUMPRODUCT(($U$4:$U$203=1)*(($J$4:$J$203&lt;$J112)+(($J$4:$J$203=$J112)*(ROW($J$4:$J$203)&lt;ROW($J112)))))+1,"")</f>
        <v/>
      </c>
      <c r="W112" s="12">
        <f>IF($B112="","","")</f>
        <v/>
      </c>
      <c r="X112" s="11">
        <f>IF($B112="","",0)</f>
        <v/>
      </c>
      <c r="Y112">
        <f>IF($B112="",0,IF(AND($R112=0,$E112&lt;&gt;"Dead Lead",ISNUMBER($J112),$J112&lt;=TODAY()+7),1,0))</f>
        <v/>
      </c>
      <c r="Z112">
        <f>IF($Y112=1,SUMPRODUCT(($Y$4:$Y$203=1)*(($J$4:$J$203&lt;$J112)+(($J$4:$J$203=$J112)*(ROW($J$4:$J$203)&lt;ROW($J112)))))+1,"")</f>
        <v/>
      </c>
      <c r="AA112" s="12">
        <f>IF($B112="","","")</f>
        <v/>
      </c>
      <c r="AB112" s="11">
        <f>IF($B112="","",0)</f>
        <v/>
      </c>
      <c r="AC112" s="11" t="n"/>
      <c r="AD112">
        <f>IF($E112="","",IF($E112="VIP Transferred",IF($AA112="","",IF(N($AB112)&gt;=3,"N/A - Closed",$AA112+CHOOSE(N($AB112)+1,1,2,3))),IF($I112="","",IF(VLOOKUP($E112,Lists!$C$2:$E$20,3,FALSE)="CLOSED","N/A - Closed",$I112+VLOOKUP($E112,Lists!$C$2:$E$20,3,FALSE)))))</f>
        <v/>
      </c>
      <c r="AE112">
        <f>IF(AND($AC112="Yes",$W112&lt;&gt;"",N($X112)&lt;3),$W112+CHOOSE(N($X112)+1,1,7,14),"")</f>
        <v/>
      </c>
      <c r="AF112" s="12">
        <f>IF($B112="","","")</f>
        <v/>
      </c>
    </row>
    <row r="113">
      <c r="A113" s="11">
        <f>IF($B113="","","YU-"&amp;TEXT(ROW()-3,"0000"))</f>
        <v/>
      </c>
      <c r="B113" s="11" t="n"/>
      <c r="C113" s="11" t="inlineStr">
        <is>
          <t>Discord</t>
        </is>
      </c>
      <c r="D113" s="11" t="n"/>
      <c r="E113" s="11" t="n"/>
      <c r="F113" s="11">
        <f>IF($E113="","",IF($E113="Dead Lead","Black",IF(IF(ISNUMBER($J113),TODAY()-$J113&gt;3,FALSE),"Red",IF($E113="Reactivation Queue","Red",IF(OR($E113="First Deposit",$E113="Active"),"Green","Yellow")))))</f>
        <v/>
      </c>
      <c r="G113" s="11">
        <f>IF($F113="","",IF($F113="Red",1,IF($F113="Yellow",2,IF($F113="Green",3,4))))</f>
        <v/>
      </c>
      <c r="H113" s="14" t="n"/>
      <c r="I113" s="14" t="n"/>
      <c r="J113" s="12">
        <f>IF($E113="","",IF(AND(ISNUMBER($AD113),ISNUMBER($AE113)),MIN($AD113,$AE113),IF(ISNUMBER($AE113),$AE113,$AD113)))</f>
        <v/>
      </c>
      <c r="K113" s="11">
        <f>IF($E113="","",IF($E113="VIP Transferred",IF(N($AB113)&gt;=3,"Should be Dead Lead (3 attempts, still no deposit) - will auto-update","Day "&amp;CHOOSE(N($AB113)+1,1,2,3)&amp;" URGENT VIP check-in - help them finish KYC and lock in first deposit"),IF(AND($D113="",$E113&lt;&gt;"Dead Lead"),IF(N($T113)&gt;=3,"READY FOR DEAD LEAD (3 attempts, still no sign-up)","GET ROOBET SIGN-UP - "&amp;IFERROR(VLOOKUP($E113,Lists!$C$2:$E$20,2,FALSE),"")),IFERROR(VLOOKUP($E113,Lists!$C$2:$E$20,2,FALSE),""))))&amp;IF($AC113="Yes",IF(N($X113)&gt;=3," | VIP Team checkpoints complete - no more automatic check-ins"," | Day "&amp;CHOOSE(N($X113)+1,1,7,14)&amp;" VIP Team check-in - confirm active/depositing"),"")</f>
        <v/>
      </c>
      <c r="L113" s="11" t="n"/>
      <c r="M113" s="11" t="n"/>
      <c r="N113" s="15" t="n"/>
      <c r="O113" s="11">
        <f>IF($E113="","",IF(AND($E113="Active",$F113="Green"),"Yes","No"))</f>
        <v/>
      </c>
      <c r="P113" s="11" t="n"/>
      <c r="Q113">
        <f>IF($I113="","",ROUND(TODAY()-$I113,0))</f>
        <v/>
      </c>
      <c r="R113">
        <f>IF($B113="",0,IF(OR(AND(ISNUMBER($J113),$J113&lt;=TODAY(),$E113&lt;&gt;"Dead Lead"),AND($D113="",$E113&lt;&gt;"",$E113&lt;&gt;"Dead Lead",OR($I113="",$I113&lt;TODAY()))),1,0))</f>
        <v/>
      </c>
      <c r="S113">
        <f>IF($R113=1,SUMPRODUCT(($R$4:$R$203=1)*(($Q$4:$Q$203&gt;$Q113)+(($Q$4:$Q$203=$Q113)*(ROW($Q$4:$Q$203)&lt;ROW($Q113)))))+1,"")</f>
        <v/>
      </c>
      <c r="T113" s="11">
        <f>IF($B113="","",0)</f>
        <v/>
      </c>
      <c r="U113">
        <f>IF($B113="",0,IF($E113="Dead Lead",1,0))</f>
        <v/>
      </c>
      <c r="V113">
        <f>IF($U113=1,SUMPRODUCT(($U$4:$U$203=1)*(($J$4:$J$203&lt;$J113)+(($J$4:$J$203=$J113)*(ROW($J$4:$J$203)&lt;ROW($J113)))))+1,"")</f>
        <v/>
      </c>
      <c r="W113" s="12">
        <f>IF($B113="","","")</f>
        <v/>
      </c>
      <c r="X113" s="11">
        <f>IF($B113="","",0)</f>
        <v/>
      </c>
      <c r="Y113">
        <f>IF($B113="",0,IF(AND($R113=0,$E113&lt;&gt;"Dead Lead",ISNUMBER($J113),$J113&lt;=TODAY()+7),1,0))</f>
        <v/>
      </c>
      <c r="Z113">
        <f>IF($Y113=1,SUMPRODUCT(($Y$4:$Y$203=1)*(($J$4:$J$203&lt;$J113)+(($J$4:$J$203=$J113)*(ROW($J$4:$J$203)&lt;ROW($J113)))))+1,"")</f>
        <v/>
      </c>
      <c r="AA113" s="12">
        <f>IF($B113="","","")</f>
        <v/>
      </c>
      <c r="AB113" s="11">
        <f>IF($B113="","",0)</f>
        <v/>
      </c>
      <c r="AC113" s="11" t="n"/>
      <c r="AD113">
        <f>IF($E113="","",IF($E113="VIP Transferred",IF($AA113="","",IF(N($AB113)&gt;=3,"N/A - Closed",$AA113+CHOOSE(N($AB113)+1,1,2,3))),IF($I113="","",IF(VLOOKUP($E113,Lists!$C$2:$E$20,3,FALSE)="CLOSED","N/A - Closed",$I113+VLOOKUP($E113,Lists!$C$2:$E$20,3,FALSE)))))</f>
        <v/>
      </c>
      <c r="AE113">
        <f>IF(AND($AC113="Yes",$W113&lt;&gt;"",N($X113)&lt;3),$W113+CHOOSE(N($X113)+1,1,7,14),"")</f>
        <v/>
      </c>
      <c r="AF113" s="12">
        <f>IF($B113="","","")</f>
        <v/>
      </c>
    </row>
    <row r="114">
      <c r="A114" s="11">
        <f>IF($B114="","","YU-"&amp;TEXT(ROW()-3,"0000"))</f>
        <v/>
      </c>
      <c r="B114" s="11" t="n"/>
      <c r="C114" s="11" t="inlineStr">
        <is>
          <t>Discord</t>
        </is>
      </c>
      <c r="D114" s="11" t="n"/>
      <c r="E114" s="11" t="n"/>
      <c r="F114" s="11">
        <f>IF($E114="","",IF($E114="Dead Lead","Black",IF(IF(ISNUMBER($J114),TODAY()-$J114&gt;3,FALSE),"Red",IF($E114="Reactivation Queue","Red",IF(OR($E114="First Deposit",$E114="Active"),"Green","Yellow")))))</f>
        <v/>
      </c>
      <c r="G114" s="11">
        <f>IF($F114="","",IF($F114="Red",1,IF($F114="Yellow",2,IF($F114="Green",3,4))))</f>
        <v/>
      </c>
      <c r="H114" s="14" t="n"/>
      <c r="I114" s="14" t="n"/>
      <c r="J114" s="12">
        <f>IF($E114="","",IF(AND(ISNUMBER($AD114),ISNUMBER($AE114)),MIN($AD114,$AE114),IF(ISNUMBER($AE114),$AE114,$AD114)))</f>
        <v/>
      </c>
      <c r="K114" s="11">
        <f>IF($E114="","",IF($E114="VIP Transferred",IF(N($AB114)&gt;=3,"Should be Dead Lead (3 attempts, still no deposit) - will auto-update","Day "&amp;CHOOSE(N($AB114)+1,1,2,3)&amp;" URGENT VIP check-in - help them finish KYC and lock in first deposit"),IF(AND($D114="",$E114&lt;&gt;"Dead Lead"),IF(N($T114)&gt;=3,"READY FOR DEAD LEAD (3 attempts, still no sign-up)","GET ROOBET SIGN-UP - "&amp;IFERROR(VLOOKUP($E114,Lists!$C$2:$E$20,2,FALSE),"")),IFERROR(VLOOKUP($E114,Lists!$C$2:$E$20,2,FALSE),""))))&amp;IF($AC114="Yes",IF(N($X114)&gt;=3," | VIP Team checkpoints complete - no more automatic check-ins"," | Day "&amp;CHOOSE(N($X114)+1,1,7,14)&amp;" VIP Team check-in - confirm active/depositing"),"")</f>
        <v/>
      </c>
      <c r="L114" s="11" t="n"/>
      <c r="M114" s="11" t="n"/>
      <c r="N114" s="15" t="n"/>
      <c r="O114" s="11">
        <f>IF($E114="","",IF(AND($E114="Active",$F114="Green"),"Yes","No"))</f>
        <v/>
      </c>
      <c r="P114" s="11" t="n"/>
      <c r="Q114">
        <f>IF($I114="","",ROUND(TODAY()-$I114,0))</f>
        <v/>
      </c>
      <c r="R114">
        <f>IF($B114="",0,IF(OR(AND(ISNUMBER($J114),$J114&lt;=TODAY(),$E114&lt;&gt;"Dead Lead"),AND($D114="",$E114&lt;&gt;"",$E114&lt;&gt;"Dead Lead",OR($I114="",$I114&lt;TODAY()))),1,0))</f>
        <v/>
      </c>
      <c r="S114">
        <f>IF($R114=1,SUMPRODUCT(($R$4:$R$203=1)*(($Q$4:$Q$203&gt;$Q114)+(($Q$4:$Q$203=$Q114)*(ROW($Q$4:$Q$203)&lt;ROW($Q114)))))+1,"")</f>
        <v/>
      </c>
      <c r="T114" s="11">
        <f>IF($B114="","",0)</f>
        <v/>
      </c>
      <c r="U114">
        <f>IF($B114="",0,IF($E114="Dead Lead",1,0))</f>
        <v/>
      </c>
      <c r="V114">
        <f>IF($U114=1,SUMPRODUCT(($U$4:$U$203=1)*(($J$4:$J$203&lt;$J114)+(($J$4:$J$203=$J114)*(ROW($J$4:$J$203)&lt;ROW($J114)))))+1,"")</f>
        <v/>
      </c>
      <c r="W114" s="12">
        <f>IF($B114="","","")</f>
        <v/>
      </c>
      <c r="X114" s="11">
        <f>IF($B114="","",0)</f>
        <v/>
      </c>
      <c r="Y114">
        <f>IF($B114="",0,IF(AND($R114=0,$E114&lt;&gt;"Dead Lead",ISNUMBER($J114),$J114&lt;=TODAY()+7),1,0))</f>
        <v/>
      </c>
      <c r="Z114">
        <f>IF($Y114=1,SUMPRODUCT(($Y$4:$Y$203=1)*(($J$4:$J$203&lt;$J114)+(($J$4:$J$203=$J114)*(ROW($J$4:$J$203)&lt;ROW($J114)))))+1,"")</f>
        <v/>
      </c>
      <c r="AA114" s="12">
        <f>IF($B114="","","")</f>
        <v/>
      </c>
      <c r="AB114" s="11">
        <f>IF($B114="","",0)</f>
        <v/>
      </c>
      <c r="AC114" s="11" t="n"/>
      <c r="AD114">
        <f>IF($E114="","",IF($E114="VIP Transferred",IF($AA114="","",IF(N($AB114)&gt;=3,"N/A - Closed",$AA114+CHOOSE(N($AB114)+1,1,2,3))),IF($I114="","",IF(VLOOKUP($E114,Lists!$C$2:$E$20,3,FALSE)="CLOSED","N/A - Closed",$I114+VLOOKUP($E114,Lists!$C$2:$E$20,3,FALSE)))))</f>
        <v/>
      </c>
      <c r="AE114">
        <f>IF(AND($AC114="Yes",$W114&lt;&gt;"",N($X114)&lt;3),$W114+CHOOSE(N($X114)+1,1,7,14),"")</f>
        <v/>
      </c>
      <c r="AF114" s="12">
        <f>IF($B114="","","")</f>
        <v/>
      </c>
    </row>
    <row r="115">
      <c r="A115" s="11">
        <f>IF($B115="","","YU-"&amp;TEXT(ROW()-3,"0000"))</f>
        <v/>
      </c>
      <c r="B115" s="11" t="n"/>
      <c r="C115" s="11" t="inlineStr">
        <is>
          <t>Discord</t>
        </is>
      </c>
      <c r="D115" s="11" t="n"/>
      <c r="E115" s="11" t="n"/>
      <c r="F115" s="11">
        <f>IF($E115="","",IF($E115="Dead Lead","Black",IF(IF(ISNUMBER($J115),TODAY()-$J115&gt;3,FALSE),"Red",IF($E115="Reactivation Queue","Red",IF(OR($E115="First Deposit",$E115="Active"),"Green","Yellow")))))</f>
        <v/>
      </c>
      <c r="G115" s="11">
        <f>IF($F115="","",IF($F115="Red",1,IF($F115="Yellow",2,IF($F115="Green",3,4))))</f>
        <v/>
      </c>
      <c r="H115" s="14" t="n"/>
      <c r="I115" s="14" t="n"/>
      <c r="J115" s="12">
        <f>IF($E115="","",IF(AND(ISNUMBER($AD115),ISNUMBER($AE115)),MIN($AD115,$AE115),IF(ISNUMBER($AE115),$AE115,$AD115)))</f>
        <v/>
      </c>
      <c r="K115" s="11">
        <f>IF($E115="","",IF($E115="VIP Transferred",IF(N($AB115)&gt;=3,"Should be Dead Lead (3 attempts, still no deposit) - will auto-update","Day "&amp;CHOOSE(N($AB115)+1,1,2,3)&amp;" URGENT VIP check-in - help them finish KYC and lock in first deposit"),IF(AND($D115="",$E115&lt;&gt;"Dead Lead"),IF(N($T115)&gt;=3,"READY FOR DEAD LEAD (3 attempts, still no sign-up)","GET ROOBET SIGN-UP - "&amp;IFERROR(VLOOKUP($E115,Lists!$C$2:$E$20,2,FALSE),"")),IFERROR(VLOOKUP($E115,Lists!$C$2:$E$20,2,FALSE),""))))&amp;IF($AC115="Yes",IF(N($X115)&gt;=3," | VIP Team checkpoints complete - no more automatic check-ins"," | Day "&amp;CHOOSE(N($X115)+1,1,7,14)&amp;" VIP Team check-in - confirm active/depositing"),"")</f>
        <v/>
      </c>
      <c r="L115" s="11" t="n"/>
      <c r="M115" s="11" t="n"/>
      <c r="N115" s="15" t="n"/>
      <c r="O115" s="11">
        <f>IF($E115="","",IF(AND($E115="Active",$F115="Green"),"Yes","No"))</f>
        <v/>
      </c>
      <c r="P115" s="11" t="n"/>
      <c r="Q115">
        <f>IF($I115="","",ROUND(TODAY()-$I115,0))</f>
        <v/>
      </c>
      <c r="R115">
        <f>IF($B115="",0,IF(OR(AND(ISNUMBER($J115),$J115&lt;=TODAY(),$E115&lt;&gt;"Dead Lead"),AND($D115="",$E115&lt;&gt;"",$E115&lt;&gt;"Dead Lead",OR($I115="",$I115&lt;TODAY()))),1,0))</f>
        <v/>
      </c>
      <c r="S115">
        <f>IF($R115=1,SUMPRODUCT(($R$4:$R$203=1)*(($Q$4:$Q$203&gt;$Q115)+(($Q$4:$Q$203=$Q115)*(ROW($Q$4:$Q$203)&lt;ROW($Q115)))))+1,"")</f>
        <v/>
      </c>
      <c r="T115" s="11">
        <f>IF($B115="","",0)</f>
        <v/>
      </c>
      <c r="U115">
        <f>IF($B115="",0,IF($E115="Dead Lead",1,0))</f>
        <v/>
      </c>
      <c r="V115">
        <f>IF($U115=1,SUMPRODUCT(($U$4:$U$203=1)*(($J$4:$J$203&lt;$J115)+(($J$4:$J$203=$J115)*(ROW($J$4:$J$203)&lt;ROW($J115)))))+1,"")</f>
        <v/>
      </c>
      <c r="W115" s="12">
        <f>IF($B115="","","")</f>
        <v/>
      </c>
      <c r="X115" s="11">
        <f>IF($B115="","",0)</f>
        <v/>
      </c>
      <c r="Y115">
        <f>IF($B115="",0,IF(AND($R115=0,$E115&lt;&gt;"Dead Lead",ISNUMBER($J115),$J115&lt;=TODAY()+7),1,0))</f>
        <v/>
      </c>
      <c r="Z115">
        <f>IF($Y115=1,SUMPRODUCT(($Y$4:$Y$203=1)*(($J$4:$J$203&lt;$J115)+(($J$4:$J$203=$J115)*(ROW($J$4:$J$203)&lt;ROW($J115)))))+1,"")</f>
        <v/>
      </c>
      <c r="AA115" s="12">
        <f>IF($B115="","","")</f>
        <v/>
      </c>
      <c r="AB115" s="11">
        <f>IF($B115="","",0)</f>
        <v/>
      </c>
      <c r="AC115" s="11" t="n"/>
      <c r="AD115">
        <f>IF($E115="","",IF($E115="VIP Transferred",IF($AA115="","",IF(N($AB115)&gt;=3,"N/A - Closed",$AA115+CHOOSE(N($AB115)+1,1,2,3))),IF($I115="","",IF(VLOOKUP($E115,Lists!$C$2:$E$20,3,FALSE)="CLOSED","N/A - Closed",$I115+VLOOKUP($E115,Lists!$C$2:$E$20,3,FALSE)))))</f>
        <v/>
      </c>
      <c r="AE115">
        <f>IF(AND($AC115="Yes",$W115&lt;&gt;"",N($X115)&lt;3),$W115+CHOOSE(N($X115)+1,1,7,14),"")</f>
        <v/>
      </c>
      <c r="AF115" s="12">
        <f>IF($B115="","","")</f>
        <v/>
      </c>
    </row>
    <row r="116">
      <c r="A116" s="11">
        <f>IF($B116="","","YU-"&amp;TEXT(ROW()-3,"0000"))</f>
        <v/>
      </c>
      <c r="B116" s="11" t="n"/>
      <c r="C116" s="11" t="inlineStr">
        <is>
          <t>Discord</t>
        </is>
      </c>
      <c r="D116" s="11" t="n"/>
      <c r="E116" s="11" t="n"/>
      <c r="F116" s="11">
        <f>IF($E116="","",IF($E116="Dead Lead","Black",IF(IF(ISNUMBER($J116),TODAY()-$J116&gt;3,FALSE),"Red",IF($E116="Reactivation Queue","Red",IF(OR($E116="First Deposit",$E116="Active"),"Green","Yellow")))))</f>
        <v/>
      </c>
      <c r="G116" s="11">
        <f>IF($F116="","",IF($F116="Red",1,IF($F116="Yellow",2,IF($F116="Green",3,4))))</f>
        <v/>
      </c>
      <c r="H116" s="14" t="n"/>
      <c r="I116" s="14" t="n"/>
      <c r="J116" s="12">
        <f>IF($E116="","",IF(AND(ISNUMBER($AD116),ISNUMBER($AE116)),MIN($AD116,$AE116),IF(ISNUMBER($AE116),$AE116,$AD116)))</f>
        <v/>
      </c>
      <c r="K116" s="11">
        <f>IF($E116="","",IF($E116="VIP Transferred",IF(N($AB116)&gt;=3,"Should be Dead Lead (3 attempts, still no deposit) - will auto-update","Day "&amp;CHOOSE(N($AB116)+1,1,2,3)&amp;" URGENT VIP check-in - help them finish KYC and lock in first deposit"),IF(AND($D116="",$E116&lt;&gt;"Dead Lead"),IF(N($T116)&gt;=3,"READY FOR DEAD LEAD (3 attempts, still no sign-up)","GET ROOBET SIGN-UP - "&amp;IFERROR(VLOOKUP($E116,Lists!$C$2:$E$20,2,FALSE),"")),IFERROR(VLOOKUP($E116,Lists!$C$2:$E$20,2,FALSE),""))))&amp;IF($AC116="Yes",IF(N($X116)&gt;=3," | VIP Team checkpoints complete - no more automatic check-ins"," | Day "&amp;CHOOSE(N($X116)+1,1,7,14)&amp;" VIP Team check-in - confirm active/depositing"),"")</f>
        <v/>
      </c>
      <c r="L116" s="11" t="n"/>
      <c r="M116" s="11" t="n"/>
      <c r="N116" s="15" t="n"/>
      <c r="O116" s="11">
        <f>IF($E116="","",IF(AND($E116="Active",$F116="Green"),"Yes","No"))</f>
        <v/>
      </c>
      <c r="P116" s="11" t="n"/>
      <c r="Q116">
        <f>IF($I116="","",ROUND(TODAY()-$I116,0))</f>
        <v/>
      </c>
      <c r="R116">
        <f>IF($B116="",0,IF(OR(AND(ISNUMBER($J116),$J116&lt;=TODAY(),$E116&lt;&gt;"Dead Lead"),AND($D116="",$E116&lt;&gt;"",$E116&lt;&gt;"Dead Lead",OR($I116="",$I116&lt;TODAY()))),1,0))</f>
        <v/>
      </c>
      <c r="S116">
        <f>IF($R116=1,SUMPRODUCT(($R$4:$R$203=1)*(($Q$4:$Q$203&gt;$Q116)+(($Q$4:$Q$203=$Q116)*(ROW($Q$4:$Q$203)&lt;ROW($Q116)))))+1,"")</f>
        <v/>
      </c>
      <c r="T116" s="11">
        <f>IF($B116="","",0)</f>
        <v/>
      </c>
      <c r="U116">
        <f>IF($B116="",0,IF($E116="Dead Lead",1,0))</f>
        <v/>
      </c>
      <c r="V116">
        <f>IF($U116=1,SUMPRODUCT(($U$4:$U$203=1)*(($J$4:$J$203&lt;$J116)+(($J$4:$J$203=$J116)*(ROW($J$4:$J$203)&lt;ROW($J116)))))+1,"")</f>
        <v/>
      </c>
      <c r="W116" s="12">
        <f>IF($B116="","","")</f>
        <v/>
      </c>
      <c r="X116" s="11">
        <f>IF($B116="","",0)</f>
        <v/>
      </c>
      <c r="Y116">
        <f>IF($B116="",0,IF(AND($R116=0,$E116&lt;&gt;"Dead Lead",ISNUMBER($J116),$J116&lt;=TODAY()+7),1,0))</f>
        <v/>
      </c>
      <c r="Z116">
        <f>IF($Y116=1,SUMPRODUCT(($Y$4:$Y$203=1)*(($J$4:$J$203&lt;$J116)+(($J$4:$J$203=$J116)*(ROW($J$4:$J$203)&lt;ROW($J116)))))+1,"")</f>
        <v/>
      </c>
      <c r="AA116" s="12">
        <f>IF($B116="","","")</f>
        <v/>
      </c>
      <c r="AB116" s="11">
        <f>IF($B116="","",0)</f>
        <v/>
      </c>
      <c r="AC116" s="11" t="n"/>
      <c r="AD116">
        <f>IF($E116="","",IF($E116="VIP Transferred",IF($AA116="","",IF(N($AB116)&gt;=3,"N/A - Closed",$AA116+CHOOSE(N($AB116)+1,1,2,3))),IF($I116="","",IF(VLOOKUP($E116,Lists!$C$2:$E$20,3,FALSE)="CLOSED","N/A - Closed",$I116+VLOOKUP($E116,Lists!$C$2:$E$20,3,FALSE)))))</f>
        <v/>
      </c>
      <c r="AE116">
        <f>IF(AND($AC116="Yes",$W116&lt;&gt;"",N($X116)&lt;3),$W116+CHOOSE(N($X116)+1,1,7,14),"")</f>
        <v/>
      </c>
      <c r="AF116" s="12">
        <f>IF($B116="","","")</f>
        <v/>
      </c>
    </row>
    <row r="117">
      <c r="A117" s="11">
        <f>IF($B117="","","YU-"&amp;TEXT(ROW()-3,"0000"))</f>
        <v/>
      </c>
      <c r="B117" s="11" t="n"/>
      <c r="C117" s="11" t="inlineStr">
        <is>
          <t>Discord</t>
        </is>
      </c>
      <c r="D117" s="11" t="n"/>
      <c r="E117" s="11" t="n"/>
      <c r="F117" s="11">
        <f>IF($E117="","",IF($E117="Dead Lead","Black",IF(IF(ISNUMBER($J117),TODAY()-$J117&gt;3,FALSE),"Red",IF($E117="Reactivation Queue","Red",IF(OR($E117="First Deposit",$E117="Active"),"Green","Yellow")))))</f>
        <v/>
      </c>
      <c r="G117" s="11">
        <f>IF($F117="","",IF($F117="Red",1,IF($F117="Yellow",2,IF($F117="Green",3,4))))</f>
        <v/>
      </c>
      <c r="H117" s="14" t="n"/>
      <c r="I117" s="14" t="n"/>
      <c r="J117" s="12">
        <f>IF($E117="","",IF(AND(ISNUMBER($AD117),ISNUMBER($AE117)),MIN($AD117,$AE117),IF(ISNUMBER($AE117),$AE117,$AD117)))</f>
        <v/>
      </c>
      <c r="K117" s="11">
        <f>IF($E117="","",IF($E117="VIP Transferred",IF(N($AB117)&gt;=3,"Should be Dead Lead (3 attempts, still no deposit) - will auto-update","Day "&amp;CHOOSE(N($AB117)+1,1,2,3)&amp;" URGENT VIP check-in - help them finish KYC and lock in first deposit"),IF(AND($D117="",$E117&lt;&gt;"Dead Lead"),IF(N($T117)&gt;=3,"READY FOR DEAD LEAD (3 attempts, still no sign-up)","GET ROOBET SIGN-UP - "&amp;IFERROR(VLOOKUP($E117,Lists!$C$2:$E$20,2,FALSE),"")),IFERROR(VLOOKUP($E117,Lists!$C$2:$E$20,2,FALSE),""))))&amp;IF($AC117="Yes",IF(N($X117)&gt;=3," | VIP Team checkpoints complete - no more automatic check-ins"," | Day "&amp;CHOOSE(N($X117)+1,1,7,14)&amp;" VIP Team check-in - confirm active/depositing"),"")</f>
        <v/>
      </c>
      <c r="L117" s="11" t="n"/>
      <c r="M117" s="11" t="n"/>
      <c r="N117" s="15" t="n"/>
      <c r="O117" s="11">
        <f>IF($E117="","",IF(AND($E117="Active",$F117="Green"),"Yes","No"))</f>
        <v/>
      </c>
      <c r="P117" s="11" t="n"/>
      <c r="Q117">
        <f>IF($I117="","",ROUND(TODAY()-$I117,0))</f>
        <v/>
      </c>
      <c r="R117">
        <f>IF($B117="",0,IF(OR(AND(ISNUMBER($J117),$J117&lt;=TODAY(),$E117&lt;&gt;"Dead Lead"),AND($D117="",$E117&lt;&gt;"",$E117&lt;&gt;"Dead Lead",OR($I117="",$I117&lt;TODAY()))),1,0))</f>
        <v/>
      </c>
      <c r="S117">
        <f>IF($R117=1,SUMPRODUCT(($R$4:$R$203=1)*(($Q$4:$Q$203&gt;$Q117)+(($Q$4:$Q$203=$Q117)*(ROW($Q$4:$Q$203)&lt;ROW($Q117)))))+1,"")</f>
        <v/>
      </c>
      <c r="T117" s="11">
        <f>IF($B117="","",0)</f>
        <v/>
      </c>
      <c r="U117">
        <f>IF($B117="",0,IF($E117="Dead Lead",1,0))</f>
        <v/>
      </c>
      <c r="V117">
        <f>IF($U117=1,SUMPRODUCT(($U$4:$U$203=1)*(($J$4:$J$203&lt;$J117)+(($J$4:$J$203=$J117)*(ROW($J$4:$J$203)&lt;ROW($J117)))))+1,"")</f>
        <v/>
      </c>
      <c r="W117" s="12">
        <f>IF($B117="","","")</f>
        <v/>
      </c>
      <c r="X117" s="11">
        <f>IF($B117="","",0)</f>
        <v/>
      </c>
      <c r="Y117">
        <f>IF($B117="",0,IF(AND($R117=0,$E117&lt;&gt;"Dead Lead",ISNUMBER($J117),$J117&lt;=TODAY()+7),1,0))</f>
        <v/>
      </c>
      <c r="Z117">
        <f>IF($Y117=1,SUMPRODUCT(($Y$4:$Y$203=1)*(($J$4:$J$203&lt;$J117)+(($J$4:$J$203=$J117)*(ROW($J$4:$J$203)&lt;ROW($J117)))))+1,"")</f>
        <v/>
      </c>
      <c r="AA117" s="12">
        <f>IF($B117="","","")</f>
        <v/>
      </c>
      <c r="AB117" s="11">
        <f>IF($B117="","",0)</f>
        <v/>
      </c>
      <c r="AC117" s="11" t="n"/>
      <c r="AD117">
        <f>IF($E117="","",IF($E117="VIP Transferred",IF($AA117="","",IF(N($AB117)&gt;=3,"N/A - Closed",$AA117+CHOOSE(N($AB117)+1,1,2,3))),IF($I117="","",IF(VLOOKUP($E117,Lists!$C$2:$E$20,3,FALSE)="CLOSED","N/A - Closed",$I117+VLOOKUP($E117,Lists!$C$2:$E$20,3,FALSE)))))</f>
        <v/>
      </c>
      <c r="AE117">
        <f>IF(AND($AC117="Yes",$W117&lt;&gt;"",N($X117)&lt;3),$W117+CHOOSE(N($X117)+1,1,7,14),"")</f>
        <v/>
      </c>
      <c r="AF117" s="12">
        <f>IF($B117="","","")</f>
        <v/>
      </c>
    </row>
    <row r="118">
      <c r="A118" s="11">
        <f>IF($B118="","","YU-"&amp;TEXT(ROW()-3,"0000"))</f>
        <v/>
      </c>
      <c r="B118" s="11" t="n"/>
      <c r="C118" s="11" t="inlineStr">
        <is>
          <t>Discord</t>
        </is>
      </c>
      <c r="D118" s="11" t="n"/>
      <c r="E118" s="11" t="n"/>
      <c r="F118" s="11">
        <f>IF($E118="","",IF($E118="Dead Lead","Black",IF(IF(ISNUMBER($J118),TODAY()-$J118&gt;3,FALSE),"Red",IF($E118="Reactivation Queue","Red",IF(OR($E118="First Deposit",$E118="Active"),"Green","Yellow")))))</f>
        <v/>
      </c>
      <c r="G118" s="11">
        <f>IF($F118="","",IF($F118="Red",1,IF($F118="Yellow",2,IF($F118="Green",3,4))))</f>
        <v/>
      </c>
      <c r="H118" s="14" t="n"/>
      <c r="I118" s="14" t="n"/>
      <c r="J118" s="12">
        <f>IF($E118="","",IF(AND(ISNUMBER($AD118),ISNUMBER($AE118)),MIN($AD118,$AE118),IF(ISNUMBER($AE118),$AE118,$AD118)))</f>
        <v/>
      </c>
      <c r="K118" s="11">
        <f>IF($E118="","",IF($E118="VIP Transferred",IF(N($AB118)&gt;=3,"Should be Dead Lead (3 attempts, still no deposit) - will auto-update","Day "&amp;CHOOSE(N($AB118)+1,1,2,3)&amp;" URGENT VIP check-in - help them finish KYC and lock in first deposit"),IF(AND($D118="",$E118&lt;&gt;"Dead Lead"),IF(N($T118)&gt;=3,"READY FOR DEAD LEAD (3 attempts, still no sign-up)","GET ROOBET SIGN-UP - "&amp;IFERROR(VLOOKUP($E118,Lists!$C$2:$E$20,2,FALSE),"")),IFERROR(VLOOKUP($E118,Lists!$C$2:$E$20,2,FALSE),""))))&amp;IF($AC118="Yes",IF(N($X118)&gt;=3," | VIP Team checkpoints complete - no more automatic check-ins"," | Day "&amp;CHOOSE(N($X118)+1,1,7,14)&amp;" VIP Team check-in - confirm active/depositing"),"")</f>
        <v/>
      </c>
      <c r="L118" s="11" t="n"/>
      <c r="M118" s="11" t="n"/>
      <c r="N118" s="15" t="n"/>
      <c r="O118" s="11">
        <f>IF($E118="","",IF(AND($E118="Active",$F118="Green"),"Yes","No"))</f>
        <v/>
      </c>
      <c r="P118" s="11" t="n"/>
      <c r="Q118">
        <f>IF($I118="","",ROUND(TODAY()-$I118,0))</f>
        <v/>
      </c>
      <c r="R118">
        <f>IF($B118="",0,IF(OR(AND(ISNUMBER($J118),$J118&lt;=TODAY(),$E118&lt;&gt;"Dead Lead"),AND($D118="",$E118&lt;&gt;"",$E118&lt;&gt;"Dead Lead",OR($I118="",$I118&lt;TODAY()))),1,0))</f>
        <v/>
      </c>
      <c r="S118">
        <f>IF($R118=1,SUMPRODUCT(($R$4:$R$203=1)*(($Q$4:$Q$203&gt;$Q118)+(($Q$4:$Q$203=$Q118)*(ROW($Q$4:$Q$203)&lt;ROW($Q118)))))+1,"")</f>
        <v/>
      </c>
      <c r="T118" s="11">
        <f>IF($B118="","",0)</f>
        <v/>
      </c>
      <c r="U118">
        <f>IF($B118="",0,IF($E118="Dead Lead",1,0))</f>
        <v/>
      </c>
      <c r="V118">
        <f>IF($U118=1,SUMPRODUCT(($U$4:$U$203=1)*(($J$4:$J$203&lt;$J118)+(($J$4:$J$203=$J118)*(ROW($J$4:$J$203)&lt;ROW($J118)))))+1,"")</f>
        <v/>
      </c>
      <c r="W118" s="12">
        <f>IF($B118="","","")</f>
        <v/>
      </c>
      <c r="X118" s="11">
        <f>IF($B118="","",0)</f>
        <v/>
      </c>
      <c r="Y118">
        <f>IF($B118="",0,IF(AND($R118=0,$E118&lt;&gt;"Dead Lead",ISNUMBER($J118),$J118&lt;=TODAY()+7),1,0))</f>
        <v/>
      </c>
      <c r="Z118">
        <f>IF($Y118=1,SUMPRODUCT(($Y$4:$Y$203=1)*(($J$4:$J$203&lt;$J118)+(($J$4:$J$203=$J118)*(ROW($J$4:$J$203)&lt;ROW($J118)))))+1,"")</f>
        <v/>
      </c>
      <c r="AA118" s="12">
        <f>IF($B118="","","")</f>
        <v/>
      </c>
      <c r="AB118" s="11">
        <f>IF($B118="","",0)</f>
        <v/>
      </c>
      <c r="AC118" s="11" t="n"/>
      <c r="AD118">
        <f>IF($E118="","",IF($E118="VIP Transferred",IF($AA118="","",IF(N($AB118)&gt;=3,"N/A - Closed",$AA118+CHOOSE(N($AB118)+1,1,2,3))),IF($I118="","",IF(VLOOKUP($E118,Lists!$C$2:$E$20,3,FALSE)="CLOSED","N/A - Closed",$I118+VLOOKUP($E118,Lists!$C$2:$E$20,3,FALSE)))))</f>
        <v/>
      </c>
      <c r="AE118">
        <f>IF(AND($AC118="Yes",$W118&lt;&gt;"",N($X118)&lt;3),$W118+CHOOSE(N($X118)+1,1,7,14),"")</f>
        <v/>
      </c>
      <c r="AF118" s="12">
        <f>IF($B118="","","")</f>
        <v/>
      </c>
    </row>
    <row r="119">
      <c r="A119" s="11">
        <f>IF($B119="","","YU-"&amp;TEXT(ROW()-3,"0000"))</f>
        <v/>
      </c>
      <c r="B119" s="11" t="n"/>
      <c r="C119" s="11" t="inlineStr">
        <is>
          <t>Discord</t>
        </is>
      </c>
      <c r="D119" s="11" t="n"/>
      <c r="E119" s="11" t="n"/>
      <c r="F119" s="11">
        <f>IF($E119="","",IF($E119="Dead Lead","Black",IF(IF(ISNUMBER($J119),TODAY()-$J119&gt;3,FALSE),"Red",IF($E119="Reactivation Queue","Red",IF(OR($E119="First Deposit",$E119="Active"),"Green","Yellow")))))</f>
        <v/>
      </c>
      <c r="G119" s="11">
        <f>IF($F119="","",IF($F119="Red",1,IF($F119="Yellow",2,IF($F119="Green",3,4))))</f>
        <v/>
      </c>
      <c r="H119" s="14" t="n"/>
      <c r="I119" s="14" t="n"/>
      <c r="J119" s="12">
        <f>IF($E119="","",IF(AND(ISNUMBER($AD119),ISNUMBER($AE119)),MIN($AD119,$AE119),IF(ISNUMBER($AE119),$AE119,$AD119)))</f>
        <v/>
      </c>
      <c r="K119" s="11">
        <f>IF($E119="","",IF($E119="VIP Transferred",IF(N($AB119)&gt;=3,"Should be Dead Lead (3 attempts, still no deposit) - will auto-update","Day "&amp;CHOOSE(N($AB119)+1,1,2,3)&amp;" URGENT VIP check-in - help them finish KYC and lock in first deposit"),IF(AND($D119="",$E119&lt;&gt;"Dead Lead"),IF(N($T119)&gt;=3,"READY FOR DEAD LEAD (3 attempts, still no sign-up)","GET ROOBET SIGN-UP - "&amp;IFERROR(VLOOKUP($E119,Lists!$C$2:$E$20,2,FALSE),"")),IFERROR(VLOOKUP($E119,Lists!$C$2:$E$20,2,FALSE),""))))&amp;IF($AC119="Yes",IF(N($X119)&gt;=3," | VIP Team checkpoints complete - no more automatic check-ins"," | Day "&amp;CHOOSE(N($X119)+1,1,7,14)&amp;" VIP Team check-in - confirm active/depositing"),"")</f>
        <v/>
      </c>
      <c r="L119" s="11" t="n"/>
      <c r="M119" s="11" t="n"/>
      <c r="N119" s="15" t="n"/>
      <c r="O119" s="11">
        <f>IF($E119="","",IF(AND($E119="Active",$F119="Green"),"Yes","No"))</f>
        <v/>
      </c>
      <c r="P119" s="11" t="n"/>
      <c r="Q119">
        <f>IF($I119="","",ROUND(TODAY()-$I119,0))</f>
        <v/>
      </c>
      <c r="R119">
        <f>IF($B119="",0,IF(OR(AND(ISNUMBER($J119),$J119&lt;=TODAY(),$E119&lt;&gt;"Dead Lead"),AND($D119="",$E119&lt;&gt;"",$E119&lt;&gt;"Dead Lead",OR($I119="",$I119&lt;TODAY()))),1,0))</f>
        <v/>
      </c>
      <c r="S119">
        <f>IF($R119=1,SUMPRODUCT(($R$4:$R$203=1)*(($Q$4:$Q$203&gt;$Q119)+(($Q$4:$Q$203=$Q119)*(ROW($Q$4:$Q$203)&lt;ROW($Q119)))))+1,"")</f>
        <v/>
      </c>
      <c r="T119" s="11">
        <f>IF($B119="","",0)</f>
        <v/>
      </c>
      <c r="U119">
        <f>IF($B119="",0,IF($E119="Dead Lead",1,0))</f>
        <v/>
      </c>
      <c r="V119">
        <f>IF($U119=1,SUMPRODUCT(($U$4:$U$203=1)*(($J$4:$J$203&lt;$J119)+(($J$4:$J$203=$J119)*(ROW($J$4:$J$203)&lt;ROW($J119)))))+1,"")</f>
        <v/>
      </c>
      <c r="W119" s="12">
        <f>IF($B119="","","")</f>
        <v/>
      </c>
      <c r="X119" s="11">
        <f>IF($B119="","",0)</f>
        <v/>
      </c>
      <c r="Y119">
        <f>IF($B119="",0,IF(AND($R119=0,$E119&lt;&gt;"Dead Lead",ISNUMBER($J119),$J119&lt;=TODAY()+7),1,0))</f>
        <v/>
      </c>
      <c r="Z119">
        <f>IF($Y119=1,SUMPRODUCT(($Y$4:$Y$203=1)*(($J$4:$J$203&lt;$J119)+(($J$4:$J$203=$J119)*(ROW($J$4:$J$203)&lt;ROW($J119)))))+1,"")</f>
        <v/>
      </c>
      <c r="AA119" s="12">
        <f>IF($B119="","","")</f>
        <v/>
      </c>
      <c r="AB119" s="11">
        <f>IF($B119="","",0)</f>
        <v/>
      </c>
      <c r="AC119" s="11" t="n"/>
      <c r="AD119">
        <f>IF($E119="","",IF($E119="VIP Transferred",IF($AA119="","",IF(N($AB119)&gt;=3,"N/A - Closed",$AA119+CHOOSE(N($AB119)+1,1,2,3))),IF($I119="","",IF(VLOOKUP($E119,Lists!$C$2:$E$20,3,FALSE)="CLOSED","N/A - Closed",$I119+VLOOKUP($E119,Lists!$C$2:$E$20,3,FALSE)))))</f>
        <v/>
      </c>
      <c r="AE119">
        <f>IF(AND($AC119="Yes",$W119&lt;&gt;"",N($X119)&lt;3),$W119+CHOOSE(N($X119)+1,1,7,14),"")</f>
        <v/>
      </c>
      <c r="AF119" s="12">
        <f>IF($B119="","","")</f>
        <v/>
      </c>
    </row>
    <row r="120">
      <c r="A120" s="11">
        <f>IF($B120="","","YU-"&amp;TEXT(ROW()-3,"0000"))</f>
        <v/>
      </c>
      <c r="B120" s="11" t="n"/>
      <c r="C120" s="11" t="inlineStr">
        <is>
          <t>Discord</t>
        </is>
      </c>
      <c r="D120" s="11" t="n"/>
      <c r="E120" s="11" t="n"/>
      <c r="F120" s="11">
        <f>IF($E120="","",IF($E120="Dead Lead","Black",IF(IF(ISNUMBER($J120),TODAY()-$J120&gt;3,FALSE),"Red",IF($E120="Reactivation Queue","Red",IF(OR($E120="First Deposit",$E120="Active"),"Green","Yellow")))))</f>
        <v/>
      </c>
      <c r="G120" s="11">
        <f>IF($F120="","",IF($F120="Red",1,IF($F120="Yellow",2,IF($F120="Green",3,4))))</f>
        <v/>
      </c>
      <c r="H120" s="14" t="n"/>
      <c r="I120" s="14" t="n"/>
      <c r="J120" s="12">
        <f>IF($E120="","",IF(AND(ISNUMBER($AD120),ISNUMBER($AE120)),MIN($AD120,$AE120),IF(ISNUMBER($AE120),$AE120,$AD120)))</f>
        <v/>
      </c>
      <c r="K120" s="11">
        <f>IF($E120="","",IF($E120="VIP Transferred",IF(N($AB120)&gt;=3,"Should be Dead Lead (3 attempts, still no deposit) - will auto-update","Day "&amp;CHOOSE(N($AB120)+1,1,2,3)&amp;" URGENT VIP check-in - help them finish KYC and lock in first deposit"),IF(AND($D120="",$E120&lt;&gt;"Dead Lead"),IF(N($T120)&gt;=3,"READY FOR DEAD LEAD (3 attempts, still no sign-up)","GET ROOBET SIGN-UP - "&amp;IFERROR(VLOOKUP($E120,Lists!$C$2:$E$20,2,FALSE),"")),IFERROR(VLOOKUP($E120,Lists!$C$2:$E$20,2,FALSE),""))))&amp;IF($AC120="Yes",IF(N($X120)&gt;=3," | VIP Team checkpoints complete - no more automatic check-ins"," | Day "&amp;CHOOSE(N($X120)+1,1,7,14)&amp;" VIP Team check-in - confirm active/depositing"),"")</f>
        <v/>
      </c>
      <c r="L120" s="11" t="n"/>
      <c r="M120" s="11" t="n"/>
      <c r="N120" s="15" t="n"/>
      <c r="O120" s="11">
        <f>IF($E120="","",IF(AND($E120="Active",$F120="Green"),"Yes","No"))</f>
        <v/>
      </c>
      <c r="P120" s="11" t="n"/>
      <c r="Q120">
        <f>IF($I120="","",ROUND(TODAY()-$I120,0))</f>
        <v/>
      </c>
      <c r="R120">
        <f>IF($B120="",0,IF(OR(AND(ISNUMBER($J120),$J120&lt;=TODAY(),$E120&lt;&gt;"Dead Lead"),AND($D120="",$E120&lt;&gt;"",$E120&lt;&gt;"Dead Lead",OR($I120="",$I120&lt;TODAY()))),1,0))</f>
        <v/>
      </c>
      <c r="S120">
        <f>IF($R120=1,SUMPRODUCT(($R$4:$R$203=1)*(($Q$4:$Q$203&gt;$Q120)+(($Q$4:$Q$203=$Q120)*(ROW($Q$4:$Q$203)&lt;ROW($Q120)))))+1,"")</f>
        <v/>
      </c>
      <c r="T120" s="11">
        <f>IF($B120="","",0)</f>
        <v/>
      </c>
      <c r="U120">
        <f>IF($B120="",0,IF($E120="Dead Lead",1,0))</f>
        <v/>
      </c>
      <c r="V120">
        <f>IF($U120=1,SUMPRODUCT(($U$4:$U$203=1)*(($J$4:$J$203&lt;$J120)+(($J$4:$J$203=$J120)*(ROW($J$4:$J$203)&lt;ROW($J120)))))+1,"")</f>
        <v/>
      </c>
      <c r="W120" s="12">
        <f>IF($B120="","","")</f>
        <v/>
      </c>
      <c r="X120" s="11">
        <f>IF($B120="","",0)</f>
        <v/>
      </c>
      <c r="Y120">
        <f>IF($B120="",0,IF(AND($R120=0,$E120&lt;&gt;"Dead Lead",ISNUMBER($J120),$J120&lt;=TODAY()+7),1,0))</f>
        <v/>
      </c>
      <c r="Z120">
        <f>IF($Y120=1,SUMPRODUCT(($Y$4:$Y$203=1)*(($J$4:$J$203&lt;$J120)+(($J$4:$J$203=$J120)*(ROW($J$4:$J$203)&lt;ROW($J120)))))+1,"")</f>
        <v/>
      </c>
      <c r="AA120" s="12">
        <f>IF($B120="","","")</f>
        <v/>
      </c>
      <c r="AB120" s="11">
        <f>IF($B120="","",0)</f>
        <v/>
      </c>
      <c r="AC120" s="11" t="n"/>
      <c r="AD120">
        <f>IF($E120="","",IF($E120="VIP Transferred",IF($AA120="","",IF(N($AB120)&gt;=3,"N/A - Closed",$AA120+CHOOSE(N($AB120)+1,1,2,3))),IF($I120="","",IF(VLOOKUP($E120,Lists!$C$2:$E$20,3,FALSE)="CLOSED","N/A - Closed",$I120+VLOOKUP($E120,Lists!$C$2:$E$20,3,FALSE)))))</f>
        <v/>
      </c>
      <c r="AE120">
        <f>IF(AND($AC120="Yes",$W120&lt;&gt;"",N($X120)&lt;3),$W120+CHOOSE(N($X120)+1,1,7,14),"")</f>
        <v/>
      </c>
      <c r="AF120" s="12">
        <f>IF($B120="","","")</f>
        <v/>
      </c>
    </row>
    <row r="121">
      <c r="A121" s="11">
        <f>IF($B121="","","YU-"&amp;TEXT(ROW()-3,"0000"))</f>
        <v/>
      </c>
      <c r="B121" s="11" t="n"/>
      <c r="C121" s="11" t="inlineStr">
        <is>
          <t>Discord</t>
        </is>
      </c>
      <c r="D121" s="11" t="n"/>
      <c r="E121" s="11" t="n"/>
      <c r="F121" s="11">
        <f>IF($E121="","",IF($E121="Dead Lead","Black",IF(IF(ISNUMBER($J121),TODAY()-$J121&gt;3,FALSE),"Red",IF($E121="Reactivation Queue","Red",IF(OR($E121="First Deposit",$E121="Active"),"Green","Yellow")))))</f>
        <v/>
      </c>
      <c r="G121" s="11">
        <f>IF($F121="","",IF($F121="Red",1,IF($F121="Yellow",2,IF($F121="Green",3,4))))</f>
        <v/>
      </c>
      <c r="H121" s="14" t="n"/>
      <c r="I121" s="14" t="n"/>
      <c r="J121" s="12">
        <f>IF($E121="","",IF(AND(ISNUMBER($AD121),ISNUMBER($AE121)),MIN($AD121,$AE121),IF(ISNUMBER($AE121),$AE121,$AD121)))</f>
        <v/>
      </c>
      <c r="K121" s="11">
        <f>IF($E121="","",IF($E121="VIP Transferred",IF(N($AB121)&gt;=3,"Should be Dead Lead (3 attempts, still no deposit) - will auto-update","Day "&amp;CHOOSE(N($AB121)+1,1,2,3)&amp;" URGENT VIP check-in - help them finish KYC and lock in first deposit"),IF(AND($D121="",$E121&lt;&gt;"Dead Lead"),IF(N($T121)&gt;=3,"READY FOR DEAD LEAD (3 attempts, still no sign-up)","GET ROOBET SIGN-UP - "&amp;IFERROR(VLOOKUP($E121,Lists!$C$2:$E$20,2,FALSE),"")),IFERROR(VLOOKUP($E121,Lists!$C$2:$E$20,2,FALSE),""))))&amp;IF($AC121="Yes",IF(N($X121)&gt;=3," | VIP Team checkpoints complete - no more automatic check-ins"," | Day "&amp;CHOOSE(N($X121)+1,1,7,14)&amp;" VIP Team check-in - confirm active/depositing"),"")</f>
        <v/>
      </c>
      <c r="L121" s="11" t="n"/>
      <c r="M121" s="11" t="n"/>
      <c r="N121" s="15" t="n"/>
      <c r="O121" s="11">
        <f>IF($E121="","",IF(AND($E121="Active",$F121="Green"),"Yes","No"))</f>
        <v/>
      </c>
      <c r="P121" s="11" t="n"/>
      <c r="Q121">
        <f>IF($I121="","",ROUND(TODAY()-$I121,0))</f>
        <v/>
      </c>
      <c r="R121">
        <f>IF($B121="",0,IF(OR(AND(ISNUMBER($J121),$J121&lt;=TODAY(),$E121&lt;&gt;"Dead Lead"),AND($D121="",$E121&lt;&gt;"",$E121&lt;&gt;"Dead Lead",OR($I121="",$I121&lt;TODAY()))),1,0))</f>
        <v/>
      </c>
      <c r="S121">
        <f>IF($R121=1,SUMPRODUCT(($R$4:$R$203=1)*(($Q$4:$Q$203&gt;$Q121)+(($Q$4:$Q$203=$Q121)*(ROW($Q$4:$Q$203)&lt;ROW($Q121)))))+1,"")</f>
        <v/>
      </c>
      <c r="T121" s="11">
        <f>IF($B121="","",0)</f>
        <v/>
      </c>
      <c r="U121">
        <f>IF($B121="",0,IF($E121="Dead Lead",1,0))</f>
        <v/>
      </c>
      <c r="V121">
        <f>IF($U121=1,SUMPRODUCT(($U$4:$U$203=1)*(($J$4:$J$203&lt;$J121)+(($J$4:$J$203=$J121)*(ROW($J$4:$J$203)&lt;ROW($J121)))))+1,"")</f>
        <v/>
      </c>
      <c r="W121" s="12">
        <f>IF($B121="","","")</f>
        <v/>
      </c>
      <c r="X121" s="11">
        <f>IF($B121="","",0)</f>
        <v/>
      </c>
      <c r="Y121">
        <f>IF($B121="",0,IF(AND($R121=0,$E121&lt;&gt;"Dead Lead",ISNUMBER($J121),$J121&lt;=TODAY()+7),1,0))</f>
        <v/>
      </c>
      <c r="Z121">
        <f>IF($Y121=1,SUMPRODUCT(($Y$4:$Y$203=1)*(($J$4:$J$203&lt;$J121)+(($J$4:$J$203=$J121)*(ROW($J$4:$J$203)&lt;ROW($J121)))))+1,"")</f>
        <v/>
      </c>
      <c r="AA121" s="12">
        <f>IF($B121="","","")</f>
        <v/>
      </c>
      <c r="AB121" s="11">
        <f>IF($B121="","",0)</f>
        <v/>
      </c>
      <c r="AC121" s="11" t="n"/>
      <c r="AD121">
        <f>IF($E121="","",IF($E121="VIP Transferred",IF($AA121="","",IF(N($AB121)&gt;=3,"N/A - Closed",$AA121+CHOOSE(N($AB121)+1,1,2,3))),IF($I121="","",IF(VLOOKUP($E121,Lists!$C$2:$E$20,3,FALSE)="CLOSED","N/A - Closed",$I121+VLOOKUP($E121,Lists!$C$2:$E$20,3,FALSE)))))</f>
        <v/>
      </c>
      <c r="AE121">
        <f>IF(AND($AC121="Yes",$W121&lt;&gt;"",N($X121)&lt;3),$W121+CHOOSE(N($X121)+1,1,7,14),"")</f>
        <v/>
      </c>
      <c r="AF121" s="12">
        <f>IF($B121="","","")</f>
        <v/>
      </c>
    </row>
    <row r="122">
      <c r="A122" s="11">
        <f>IF($B122="","","YU-"&amp;TEXT(ROW()-3,"0000"))</f>
        <v/>
      </c>
      <c r="B122" s="11" t="n"/>
      <c r="C122" s="11" t="inlineStr">
        <is>
          <t>Discord</t>
        </is>
      </c>
      <c r="D122" s="11" t="n"/>
      <c r="E122" s="11" t="n"/>
      <c r="F122" s="11">
        <f>IF($E122="","",IF($E122="Dead Lead","Black",IF(IF(ISNUMBER($J122),TODAY()-$J122&gt;3,FALSE),"Red",IF($E122="Reactivation Queue","Red",IF(OR($E122="First Deposit",$E122="Active"),"Green","Yellow")))))</f>
        <v/>
      </c>
      <c r="G122" s="11">
        <f>IF($F122="","",IF($F122="Red",1,IF($F122="Yellow",2,IF($F122="Green",3,4))))</f>
        <v/>
      </c>
      <c r="H122" s="14" t="n"/>
      <c r="I122" s="14" t="n"/>
      <c r="J122" s="12">
        <f>IF($E122="","",IF(AND(ISNUMBER($AD122),ISNUMBER($AE122)),MIN($AD122,$AE122),IF(ISNUMBER($AE122),$AE122,$AD122)))</f>
        <v/>
      </c>
      <c r="K122" s="11">
        <f>IF($E122="","",IF($E122="VIP Transferred",IF(N($AB122)&gt;=3,"Should be Dead Lead (3 attempts, still no deposit) - will auto-update","Day "&amp;CHOOSE(N($AB122)+1,1,2,3)&amp;" URGENT VIP check-in - help them finish KYC and lock in first deposit"),IF(AND($D122="",$E122&lt;&gt;"Dead Lead"),IF(N($T122)&gt;=3,"READY FOR DEAD LEAD (3 attempts, still no sign-up)","GET ROOBET SIGN-UP - "&amp;IFERROR(VLOOKUP($E122,Lists!$C$2:$E$20,2,FALSE),"")),IFERROR(VLOOKUP($E122,Lists!$C$2:$E$20,2,FALSE),""))))&amp;IF($AC122="Yes",IF(N($X122)&gt;=3," | VIP Team checkpoints complete - no more automatic check-ins"," | Day "&amp;CHOOSE(N($X122)+1,1,7,14)&amp;" VIP Team check-in - confirm active/depositing"),"")</f>
        <v/>
      </c>
      <c r="L122" s="11" t="n"/>
      <c r="M122" s="11" t="n"/>
      <c r="N122" s="15" t="n"/>
      <c r="O122" s="11">
        <f>IF($E122="","",IF(AND($E122="Active",$F122="Green"),"Yes","No"))</f>
        <v/>
      </c>
      <c r="P122" s="11" t="n"/>
      <c r="Q122">
        <f>IF($I122="","",ROUND(TODAY()-$I122,0))</f>
        <v/>
      </c>
      <c r="R122">
        <f>IF($B122="",0,IF(OR(AND(ISNUMBER($J122),$J122&lt;=TODAY(),$E122&lt;&gt;"Dead Lead"),AND($D122="",$E122&lt;&gt;"",$E122&lt;&gt;"Dead Lead",OR($I122="",$I122&lt;TODAY()))),1,0))</f>
        <v/>
      </c>
      <c r="S122">
        <f>IF($R122=1,SUMPRODUCT(($R$4:$R$203=1)*(($Q$4:$Q$203&gt;$Q122)+(($Q$4:$Q$203=$Q122)*(ROW($Q$4:$Q$203)&lt;ROW($Q122)))))+1,"")</f>
        <v/>
      </c>
      <c r="T122" s="11">
        <f>IF($B122="","",0)</f>
        <v/>
      </c>
      <c r="U122">
        <f>IF($B122="",0,IF($E122="Dead Lead",1,0))</f>
        <v/>
      </c>
      <c r="V122">
        <f>IF($U122=1,SUMPRODUCT(($U$4:$U$203=1)*(($J$4:$J$203&lt;$J122)+(($J$4:$J$203=$J122)*(ROW($J$4:$J$203)&lt;ROW($J122)))))+1,"")</f>
        <v/>
      </c>
      <c r="W122" s="12">
        <f>IF($B122="","","")</f>
        <v/>
      </c>
      <c r="X122" s="11">
        <f>IF($B122="","",0)</f>
        <v/>
      </c>
      <c r="Y122">
        <f>IF($B122="",0,IF(AND($R122=0,$E122&lt;&gt;"Dead Lead",ISNUMBER($J122),$J122&lt;=TODAY()+7),1,0))</f>
        <v/>
      </c>
      <c r="Z122">
        <f>IF($Y122=1,SUMPRODUCT(($Y$4:$Y$203=1)*(($J$4:$J$203&lt;$J122)+(($J$4:$J$203=$J122)*(ROW($J$4:$J$203)&lt;ROW($J122)))))+1,"")</f>
        <v/>
      </c>
      <c r="AA122" s="12">
        <f>IF($B122="","","")</f>
        <v/>
      </c>
      <c r="AB122" s="11">
        <f>IF($B122="","",0)</f>
        <v/>
      </c>
      <c r="AC122" s="11" t="n"/>
      <c r="AD122">
        <f>IF($E122="","",IF($E122="VIP Transferred",IF($AA122="","",IF(N($AB122)&gt;=3,"N/A - Closed",$AA122+CHOOSE(N($AB122)+1,1,2,3))),IF($I122="","",IF(VLOOKUP($E122,Lists!$C$2:$E$20,3,FALSE)="CLOSED","N/A - Closed",$I122+VLOOKUP($E122,Lists!$C$2:$E$20,3,FALSE)))))</f>
        <v/>
      </c>
      <c r="AE122">
        <f>IF(AND($AC122="Yes",$W122&lt;&gt;"",N($X122)&lt;3),$W122+CHOOSE(N($X122)+1,1,7,14),"")</f>
        <v/>
      </c>
      <c r="AF122" s="12">
        <f>IF($B122="","","")</f>
        <v/>
      </c>
    </row>
    <row r="123">
      <c r="A123" s="11">
        <f>IF($B123="","","YU-"&amp;TEXT(ROW()-3,"0000"))</f>
        <v/>
      </c>
      <c r="B123" s="11" t="n"/>
      <c r="C123" s="11" t="inlineStr">
        <is>
          <t>Discord</t>
        </is>
      </c>
      <c r="D123" s="11" t="n"/>
      <c r="E123" s="11" t="n"/>
      <c r="F123" s="11">
        <f>IF($E123="","",IF($E123="Dead Lead","Black",IF(IF(ISNUMBER($J123),TODAY()-$J123&gt;3,FALSE),"Red",IF($E123="Reactivation Queue","Red",IF(OR($E123="First Deposit",$E123="Active"),"Green","Yellow")))))</f>
        <v/>
      </c>
      <c r="G123" s="11">
        <f>IF($F123="","",IF($F123="Red",1,IF($F123="Yellow",2,IF($F123="Green",3,4))))</f>
        <v/>
      </c>
      <c r="H123" s="14" t="n"/>
      <c r="I123" s="14" t="n"/>
      <c r="J123" s="12">
        <f>IF($E123="","",IF(AND(ISNUMBER($AD123),ISNUMBER($AE123)),MIN($AD123,$AE123),IF(ISNUMBER($AE123),$AE123,$AD123)))</f>
        <v/>
      </c>
      <c r="K123" s="11">
        <f>IF($E123="","",IF($E123="VIP Transferred",IF(N($AB123)&gt;=3,"Should be Dead Lead (3 attempts, still no deposit) - will auto-update","Day "&amp;CHOOSE(N($AB123)+1,1,2,3)&amp;" URGENT VIP check-in - help them finish KYC and lock in first deposit"),IF(AND($D123="",$E123&lt;&gt;"Dead Lead"),IF(N($T123)&gt;=3,"READY FOR DEAD LEAD (3 attempts, still no sign-up)","GET ROOBET SIGN-UP - "&amp;IFERROR(VLOOKUP($E123,Lists!$C$2:$E$20,2,FALSE),"")),IFERROR(VLOOKUP($E123,Lists!$C$2:$E$20,2,FALSE),""))))&amp;IF($AC123="Yes",IF(N($X123)&gt;=3," | VIP Team checkpoints complete - no more automatic check-ins"," | Day "&amp;CHOOSE(N($X123)+1,1,7,14)&amp;" VIP Team check-in - confirm active/depositing"),"")</f>
        <v/>
      </c>
      <c r="L123" s="11" t="n"/>
      <c r="M123" s="11" t="n"/>
      <c r="N123" s="15" t="n"/>
      <c r="O123" s="11">
        <f>IF($E123="","",IF(AND($E123="Active",$F123="Green"),"Yes","No"))</f>
        <v/>
      </c>
      <c r="P123" s="11" t="n"/>
      <c r="Q123">
        <f>IF($I123="","",ROUND(TODAY()-$I123,0))</f>
        <v/>
      </c>
      <c r="R123">
        <f>IF($B123="",0,IF(OR(AND(ISNUMBER($J123),$J123&lt;=TODAY(),$E123&lt;&gt;"Dead Lead"),AND($D123="",$E123&lt;&gt;"",$E123&lt;&gt;"Dead Lead",OR($I123="",$I123&lt;TODAY()))),1,0))</f>
        <v/>
      </c>
      <c r="S123">
        <f>IF($R123=1,SUMPRODUCT(($R$4:$R$203=1)*(($Q$4:$Q$203&gt;$Q123)+(($Q$4:$Q$203=$Q123)*(ROW($Q$4:$Q$203)&lt;ROW($Q123)))))+1,"")</f>
        <v/>
      </c>
      <c r="T123" s="11">
        <f>IF($B123="","",0)</f>
        <v/>
      </c>
      <c r="U123">
        <f>IF($B123="",0,IF($E123="Dead Lead",1,0))</f>
        <v/>
      </c>
      <c r="V123">
        <f>IF($U123=1,SUMPRODUCT(($U$4:$U$203=1)*(($J$4:$J$203&lt;$J123)+(($J$4:$J$203=$J123)*(ROW($J$4:$J$203)&lt;ROW($J123)))))+1,"")</f>
        <v/>
      </c>
      <c r="W123" s="12">
        <f>IF($B123="","","")</f>
        <v/>
      </c>
      <c r="X123" s="11">
        <f>IF($B123="","",0)</f>
        <v/>
      </c>
      <c r="Y123">
        <f>IF($B123="",0,IF(AND($R123=0,$E123&lt;&gt;"Dead Lead",ISNUMBER($J123),$J123&lt;=TODAY()+7),1,0))</f>
        <v/>
      </c>
      <c r="Z123">
        <f>IF($Y123=1,SUMPRODUCT(($Y$4:$Y$203=1)*(($J$4:$J$203&lt;$J123)+(($J$4:$J$203=$J123)*(ROW($J$4:$J$203)&lt;ROW($J123)))))+1,"")</f>
        <v/>
      </c>
      <c r="AA123" s="12">
        <f>IF($B123="","","")</f>
        <v/>
      </c>
      <c r="AB123" s="11">
        <f>IF($B123="","",0)</f>
        <v/>
      </c>
      <c r="AC123" s="11" t="n"/>
      <c r="AD123">
        <f>IF($E123="","",IF($E123="VIP Transferred",IF($AA123="","",IF(N($AB123)&gt;=3,"N/A - Closed",$AA123+CHOOSE(N($AB123)+1,1,2,3))),IF($I123="","",IF(VLOOKUP($E123,Lists!$C$2:$E$20,3,FALSE)="CLOSED","N/A - Closed",$I123+VLOOKUP($E123,Lists!$C$2:$E$20,3,FALSE)))))</f>
        <v/>
      </c>
      <c r="AE123">
        <f>IF(AND($AC123="Yes",$W123&lt;&gt;"",N($X123)&lt;3),$W123+CHOOSE(N($X123)+1,1,7,14),"")</f>
        <v/>
      </c>
      <c r="AF123" s="12">
        <f>IF($B123="","","")</f>
        <v/>
      </c>
    </row>
    <row r="124">
      <c r="A124" s="11">
        <f>IF($B124="","","YU-"&amp;TEXT(ROW()-3,"0000"))</f>
        <v/>
      </c>
      <c r="B124" s="11" t="n"/>
      <c r="C124" s="11" t="inlineStr">
        <is>
          <t>Discord</t>
        </is>
      </c>
      <c r="D124" s="11" t="n"/>
      <c r="E124" s="11" t="n"/>
      <c r="F124" s="11">
        <f>IF($E124="","",IF($E124="Dead Lead","Black",IF(IF(ISNUMBER($J124),TODAY()-$J124&gt;3,FALSE),"Red",IF($E124="Reactivation Queue","Red",IF(OR($E124="First Deposit",$E124="Active"),"Green","Yellow")))))</f>
        <v/>
      </c>
      <c r="G124" s="11">
        <f>IF($F124="","",IF($F124="Red",1,IF($F124="Yellow",2,IF($F124="Green",3,4))))</f>
        <v/>
      </c>
      <c r="H124" s="14" t="n"/>
      <c r="I124" s="14" t="n"/>
      <c r="J124" s="12">
        <f>IF($E124="","",IF(AND(ISNUMBER($AD124),ISNUMBER($AE124)),MIN($AD124,$AE124),IF(ISNUMBER($AE124),$AE124,$AD124)))</f>
        <v/>
      </c>
      <c r="K124" s="11">
        <f>IF($E124="","",IF($E124="VIP Transferred",IF(N($AB124)&gt;=3,"Should be Dead Lead (3 attempts, still no deposit) - will auto-update","Day "&amp;CHOOSE(N($AB124)+1,1,2,3)&amp;" URGENT VIP check-in - help them finish KYC and lock in first deposit"),IF(AND($D124="",$E124&lt;&gt;"Dead Lead"),IF(N($T124)&gt;=3,"READY FOR DEAD LEAD (3 attempts, still no sign-up)","GET ROOBET SIGN-UP - "&amp;IFERROR(VLOOKUP($E124,Lists!$C$2:$E$20,2,FALSE),"")),IFERROR(VLOOKUP($E124,Lists!$C$2:$E$20,2,FALSE),""))))&amp;IF($AC124="Yes",IF(N($X124)&gt;=3," | VIP Team checkpoints complete - no more automatic check-ins"," | Day "&amp;CHOOSE(N($X124)+1,1,7,14)&amp;" VIP Team check-in - confirm active/depositing"),"")</f>
        <v/>
      </c>
      <c r="L124" s="11" t="n"/>
      <c r="M124" s="11" t="n"/>
      <c r="N124" s="15" t="n"/>
      <c r="O124" s="11">
        <f>IF($E124="","",IF(AND($E124="Active",$F124="Green"),"Yes","No"))</f>
        <v/>
      </c>
      <c r="P124" s="11" t="n"/>
      <c r="Q124">
        <f>IF($I124="","",ROUND(TODAY()-$I124,0))</f>
        <v/>
      </c>
      <c r="R124">
        <f>IF($B124="",0,IF(OR(AND(ISNUMBER($J124),$J124&lt;=TODAY(),$E124&lt;&gt;"Dead Lead"),AND($D124="",$E124&lt;&gt;"",$E124&lt;&gt;"Dead Lead",OR($I124="",$I124&lt;TODAY()))),1,0))</f>
        <v/>
      </c>
      <c r="S124">
        <f>IF($R124=1,SUMPRODUCT(($R$4:$R$203=1)*(($Q$4:$Q$203&gt;$Q124)+(($Q$4:$Q$203=$Q124)*(ROW($Q$4:$Q$203)&lt;ROW($Q124)))))+1,"")</f>
        <v/>
      </c>
      <c r="T124" s="11">
        <f>IF($B124="","",0)</f>
        <v/>
      </c>
      <c r="U124">
        <f>IF($B124="",0,IF($E124="Dead Lead",1,0))</f>
        <v/>
      </c>
      <c r="V124">
        <f>IF($U124=1,SUMPRODUCT(($U$4:$U$203=1)*(($J$4:$J$203&lt;$J124)+(($J$4:$J$203=$J124)*(ROW($J$4:$J$203)&lt;ROW($J124)))))+1,"")</f>
        <v/>
      </c>
      <c r="W124" s="12">
        <f>IF($B124="","","")</f>
        <v/>
      </c>
      <c r="X124" s="11">
        <f>IF($B124="","",0)</f>
        <v/>
      </c>
      <c r="Y124">
        <f>IF($B124="",0,IF(AND($R124=0,$E124&lt;&gt;"Dead Lead",ISNUMBER($J124),$J124&lt;=TODAY()+7),1,0))</f>
        <v/>
      </c>
      <c r="Z124">
        <f>IF($Y124=1,SUMPRODUCT(($Y$4:$Y$203=1)*(($J$4:$J$203&lt;$J124)+(($J$4:$J$203=$J124)*(ROW($J$4:$J$203)&lt;ROW($J124)))))+1,"")</f>
        <v/>
      </c>
      <c r="AA124" s="12">
        <f>IF($B124="","","")</f>
        <v/>
      </c>
      <c r="AB124" s="11">
        <f>IF($B124="","",0)</f>
        <v/>
      </c>
      <c r="AC124" s="11" t="n"/>
      <c r="AD124">
        <f>IF($E124="","",IF($E124="VIP Transferred",IF($AA124="","",IF(N($AB124)&gt;=3,"N/A - Closed",$AA124+CHOOSE(N($AB124)+1,1,2,3))),IF($I124="","",IF(VLOOKUP($E124,Lists!$C$2:$E$20,3,FALSE)="CLOSED","N/A - Closed",$I124+VLOOKUP($E124,Lists!$C$2:$E$20,3,FALSE)))))</f>
        <v/>
      </c>
      <c r="AE124">
        <f>IF(AND($AC124="Yes",$W124&lt;&gt;"",N($X124)&lt;3),$W124+CHOOSE(N($X124)+1,1,7,14),"")</f>
        <v/>
      </c>
      <c r="AF124" s="12">
        <f>IF($B124="","","")</f>
        <v/>
      </c>
    </row>
    <row r="125">
      <c r="A125" s="11">
        <f>IF($B125="","","YU-"&amp;TEXT(ROW()-3,"0000"))</f>
        <v/>
      </c>
      <c r="B125" s="11" t="n"/>
      <c r="C125" s="11" t="inlineStr">
        <is>
          <t>Discord</t>
        </is>
      </c>
      <c r="D125" s="11" t="n"/>
      <c r="E125" s="11" t="n"/>
      <c r="F125" s="11">
        <f>IF($E125="","",IF($E125="Dead Lead","Black",IF(IF(ISNUMBER($J125),TODAY()-$J125&gt;3,FALSE),"Red",IF($E125="Reactivation Queue","Red",IF(OR($E125="First Deposit",$E125="Active"),"Green","Yellow")))))</f>
        <v/>
      </c>
      <c r="G125" s="11">
        <f>IF($F125="","",IF($F125="Red",1,IF($F125="Yellow",2,IF($F125="Green",3,4))))</f>
        <v/>
      </c>
      <c r="H125" s="14" t="n"/>
      <c r="I125" s="14" t="n"/>
      <c r="J125" s="12">
        <f>IF($E125="","",IF(AND(ISNUMBER($AD125),ISNUMBER($AE125)),MIN($AD125,$AE125),IF(ISNUMBER($AE125),$AE125,$AD125)))</f>
        <v/>
      </c>
      <c r="K125" s="11">
        <f>IF($E125="","",IF($E125="VIP Transferred",IF(N($AB125)&gt;=3,"Should be Dead Lead (3 attempts, still no deposit) - will auto-update","Day "&amp;CHOOSE(N($AB125)+1,1,2,3)&amp;" URGENT VIP check-in - help them finish KYC and lock in first deposit"),IF(AND($D125="",$E125&lt;&gt;"Dead Lead"),IF(N($T125)&gt;=3,"READY FOR DEAD LEAD (3 attempts, still no sign-up)","GET ROOBET SIGN-UP - "&amp;IFERROR(VLOOKUP($E125,Lists!$C$2:$E$20,2,FALSE),"")),IFERROR(VLOOKUP($E125,Lists!$C$2:$E$20,2,FALSE),""))))&amp;IF($AC125="Yes",IF(N($X125)&gt;=3," | VIP Team checkpoints complete - no more automatic check-ins"," | Day "&amp;CHOOSE(N($X125)+1,1,7,14)&amp;" VIP Team check-in - confirm active/depositing"),"")</f>
        <v/>
      </c>
      <c r="L125" s="11" t="n"/>
      <c r="M125" s="11" t="n"/>
      <c r="N125" s="15" t="n"/>
      <c r="O125" s="11">
        <f>IF($E125="","",IF(AND($E125="Active",$F125="Green"),"Yes","No"))</f>
        <v/>
      </c>
      <c r="P125" s="11" t="n"/>
      <c r="Q125">
        <f>IF($I125="","",ROUND(TODAY()-$I125,0))</f>
        <v/>
      </c>
      <c r="R125">
        <f>IF($B125="",0,IF(OR(AND(ISNUMBER($J125),$J125&lt;=TODAY(),$E125&lt;&gt;"Dead Lead"),AND($D125="",$E125&lt;&gt;"",$E125&lt;&gt;"Dead Lead",OR($I125="",$I125&lt;TODAY()))),1,0))</f>
        <v/>
      </c>
      <c r="S125">
        <f>IF($R125=1,SUMPRODUCT(($R$4:$R$203=1)*(($Q$4:$Q$203&gt;$Q125)+(($Q$4:$Q$203=$Q125)*(ROW($Q$4:$Q$203)&lt;ROW($Q125)))))+1,"")</f>
        <v/>
      </c>
      <c r="T125" s="11">
        <f>IF($B125="","",0)</f>
        <v/>
      </c>
      <c r="U125">
        <f>IF($B125="",0,IF($E125="Dead Lead",1,0))</f>
        <v/>
      </c>
      <c r="V125">
        <f>IF($U125=1,SUMPRODUCT(($U$4:$U$203=1)*(($J$4:$J$203&lt;$J125)+(($J$4:$J$203=$J125)*(ROW($J$4:$J$203)&lt;ROW($J125)))))+1,"")</f>
        <v/>
      </c>
      <c r="W125" s="12">
        <f>IF($B125="","","")</f>
        <v/>
      </c>
      <c r="X125" s="11">
        <f>IF($B125="","",0)</f>
        <v/>
      </c>
      <c r="Y125">
        <f>IF($B125="",0,IF(AND($R125=0,$E125&lt;&gt;"Dead Lead",ISNUMBER($J125),$J125&lt;=TODAY()+7),1,0))</f>
        <v/>
      </c>
      <c r="Z125">
        <f>IF($Y125=1,SUMPRODUCT(($Y$4:$Y$203=1)*(($J$4:$J$203&lt;$J125)+(($J$4:$J$203=$J125)*(ROW($J$4:$J$203)&lt;ROW($J125)))))+1,"")</f>
        <v/>
      </c>
      <c r="AA125" s="12">
        <f>IF($B125="","","")</f>
        <v/>
      </c>
      <c r="AB125" s="11">
        <f>IF($B125="","",0)</f>
        <v/>
      </c>
      <c r="AC125" s="11" t="n"/>
      <c r="AD125">
        <f>IF($E125="","",IF($E125="VIP Transferred",IF($AA125="","",IF(N($AB125)&gt;=3,"N/A - Closed",$AA125+CHOOSE(N($AB125)+1,1,2,3))),IF($I125="","",IF(VLOOKUP($E125,Lists!$C$2:$E$20,3,FALSE)="CLOSED","N/A - Closed",$I125+VLOOKUP($E125,Lists!$C$2:$E$20,3,FALSE)))))</f>
        <v/>
      </c>
      <c r="AE125">
        <f>IF(AND($AC125="Yes",$W125&lt;&gt;"",N($X125)&lt;3),$W125+CHOOSE(N($X125)+1,1,7,14),"")</f>
        <v/>
      </c>
      <c r="AF125" s="12">
        <f>IF($B125="","","")</f>
        <v/>
      </c>
    </row>
    <row r="126">
      <c r="A126" s="11">
        <f>IF($B126="","","YU-"&amp;TEXT(ROW()-3,"0000"))</f>
        <v/>
      </c>
      <c r="B126" s="11" t="n"/>
      <c r="C126" s="11" t="inlineStr">
        <is>
          <t>Discord</t>
        </is>
      </c>
      <c r="D126" s="11" t="n"/>
      <c r="E126" s="11" t="n"/>
      <c r="F126" s="11">
        <f>IF($E126="","",IF($E126="Dead Lead","Black",IF(IF(ISNUMBER($J126),TODAY()-$J126&gt;3,FALSE),"Red",IF($E126="Reactivation Queue","Red",IF(OR($E126="First Deposit",$E126="Active"),"Green","Yellow")))))</f>
        <v/>
      </c>
      <c r="G126" s="11">
        <f>IF($F126="","",IF($F126="Red",1,IF($F126="Yellow",2,IF($F126="Green",3,4))))</f>
        <v/>
      </c>
      <c r="H126" s="14" t="n"/>
      <c r="I126" s="14" t="n"/>
      <c r="J126" s="12">
        <f>IF($E126="","",IF(AND(ISNUMBER($AD126),ISNUMBER($AE126)),MIN($AD126,$AE126),IF(ISNUMBER($AE126),$AE126,$AD126)))</f>
        <v/>
      </c>
      <c r="K126" s="11">
        <f>IF($E126="","",IF($E126="VIP Transferred",IF(N($AB126)&gt;=3,"Should be Dead Lead (3 attempts, still no deposit) - will auto-update","Day "&amp;CHOOSE(N($AB126)+1,1,2,3)&amp;" URGENT VIP check-in - help them finish KYC and lock in first deposit"),IF(AND($D126="",$E126&lt;&gt;"Dead Lead"),IF(N($T126)&gt;=3,"READY FOR DEAD LEAD (3 attempts, still no sign-up)","GET ROOBET SIGN-UP - "&amp;IFERROR(VLOOKUP($E126,Lists!$C$2:$E$20,2,FALSE),"")),IFERROR(VLOOKUP($E126,Lists!$C$2:$E$20,2,FALSE),""))))&amp;IF($AC126="Yes",IF(N($X126)&gt;=3," | VIP Team checkpoints complete - no more automatic check-ins"," | Day "&amp;CHOOSE(N($X126)+1,1,7,14)&amp;" VIP Team check-in - confirm active/depositing"),"")</f>
        <v/>
      </c>
      <c r="L126" s="11" t="n"/>
      <c r="M126" s="11" t="n"/>
      <c r="N126" s="15" t="n"/>
      <c r="O126" s="11">
        <f>IF($E126="","",IF(AND($E126="Active",$F126="Green"),"Yes","No"))</f>
        <v/>
      </c>
      <c r="P126" s="11" t="n"/>
      <c r="Q126">
        <f>IF($I126="","",ROUND(TODAY()-$I126,0))</f>
        <v/>
      </c>
      <c r="R126">
        <f>IF($B126="",0,IF(OR(AND(ISNUMBER($J126),$J126&lt;=TODAY(),$E126&lt;&gt;"Dead Lead"),AND($D126="",$E126&lt;&gt;"",$E126&lt;&gt;"Dead Lead",OR($I126="",$I126&lt;TODAY()))),1,0))</f>
        <v/>
      </c>
      <c r="S126">
        <f>IF($R126=1,SUMPRODUCT(($R$4:$R$203=1)*(($Q$4:$Q$203&gt;$Q126)+(($Q$4:$Q$203=$Q126)*(ROW($Q$4:$Q$203)&lt;ROW($Q126)))))+1,"")</f>
        <v/>
      </c>
      <c r="T126" s="11">
        <f>IF($B126="","",0)</f>
        <v/>
      </c>
      <c r="U126">
        <f>IF($B126="",0,IF($E126="Dead Lead",1,0))</f>
        <v/>
      </c>
      <c r="V126">
        <f>IF($U126=1,SUMPRODUCT(($U$4:$U$203=1)*(($J$4:$J$203&lt;$J126)+(($J$4:$J$203=$J126)*(ROW($J$4:$J$203)&lt;ROW($J126)))))+1,"")</f>
        <v/>
      </c>
      <c r="W126" s="12">
        <f>IF($B126="","","")</f>
        <v/>
      </c>
      <c r="X126" s="11">
        <f>IF($B126="","",0)</f>
        <v/>
      </c>
      <c r="Y126">
        <f>IF($B126="",0,IF(AND($R126=0,$E126&lt;&gt;"Dead Lead",ISNUMBER($J126),$J126&lt;=TODAY()+7),1,0))</f>
        <v/>
      </c>
      <c r="Z126">
        <f>IF($Y126=1,SUMPRODUCT(($Y$4:$Y$203=1)*(($J$4:$J$203&lt;$J126)+(($J$4:$J$203=$J126)*(ROW($J$4:$J$203)&lt;ROW($J126)))))+1,"")</f>
        <v/>
      </c>
      <c r="AA126" s="12">
        <f>IF($B126="","","")</f>
        <v/>
      </c>
      <c r="AB126" s="11">
        <f>IF($B126="","",0)</f>
        <v/>
      </c>
      <c r="AC126" s="11" t="n"/>
      <c r="AD126">
        <f>IF($E126="","",IF($E126="VIP Transferred",IF($AA126="","",IF(N($AB126)&gt;=3,"N/A - Closed",$AA126+CHOOSE(N($AB126)+1,1,2,3))),IF($I126="","",IF(VLOOKUP($E126,Lists!$C$2:$E$20,3,FALSE)="CLOSED","N/A - Closed",$I126+VLOOKUP($E126,Lists!$C$2:$E$20,3,FALSE)))))</f>
        <v/>
      </c>
      <c r="AE126">
        <f>IF(AND($AC126="Yes",$W126&lt;&gt;"",N($X126)&lt;3),$W126+CHOOSE(N($X126)+1,1,7,14),"")</f>
        <v/>
      </c>
      <c r="AF126" s="12">
        <f>IF($B126="","","")</f>
        <v/>
      </c>
    </row>
    <row r="127">
      <c r="A127" s="11">
        <f>IF($B127="","","YU-"&amp;TEXT(ROW()-3,"0000"))</f>
        <v/>
      </c>
      <c r="B127" s="11" t="n"/>
      <c r="C127" s="11" t="inlineStr">
        <is>
          <t>Discord</t>
        </is>
      </c>
      <c r="D127" s="11" t="n"/>
      <c r="E127" s="11" t="n"/>
      <c r="F127" s="11">
        <f>IF($E127="","",IF($E127="Dead Lead","Black",IF(IF(ISNUMBER($J127),TODAY()-$J127&gt;3,FALSE),"Red",IF($E127="Reactivation Queue","Red",IF(OR($E127="First Deposit",$E127="Active"),"Green","Yellow")))))</f>
        <v/>
      </c>
      <c r="G127" s="11">
        <f>IF($F127="","",IF($F127="Red",1,IF($F127="Yellow",2,IF($F127="Green",3,4))))</f>
        <v/>
      </c>
      <c r="H127" s="14" t="n"/>
      <c r="I127" s="14" t="n"/>
      <c r="J127" s="12">
        <f>IF($E127="","",IF(AND(ISNUMBER($AD127),ISNUMBER($AE127)),MIN($AD127,$AE127),IF(ISNUMBER($AE127),$AE127,$AD127)))</f>
        <v/>
      </c>
      <c r="K127" s="11">
        <f>IF($E127="","",IF($E127="VIP Transferred",IF(N($AB127)&gt;=3,"Should be Dead Lead (3 attempts, still no deposit) - will auto-update","Day "&amp;CHOOSE(N($AB127)+1,1,2,3)&amp;" URGENT VIP check-in - help them finish KYC and lock in first deposit"),IF(AND($D127="",$E127&lt;&gt;"Dead Lead"),IF(N($T127)&gt;=3,"READY FOR DEAD LEAD (3 attempts, still no sign-up)","GET ROOBET SIGN-UP - "&amp;IFERROR(VLOOKUP($E127,Lists!$C$2:$E$20,2,FALSE),"")),IFERROR(VLOOKUP($E127,Lists!$C$2:$E$20,2,FALSE),""))))&amp;IF($AC127="Yes",IF(N($X127)&gt;=3," | VIP Team checkpoints complete - no more automatic check-ins"," | Day "&amp;CHOOSE(N($X127)+1,1,7,14)&amp;" VIP Team check-in - confirm active/depositing"),"")</f>
        <v/>
      </c>
      <c r="L127" s="11" t="n"/>
      <c r="M127" s="11" t="n"/>
      <c r="N127" s="15" t="n"/>
      <c r="O127" s="11">
        <f>IF($E127="","",IF(AND($E127="Active",$F127="Green"),"Yes","No"))</f>
        <v/>
      </c>
      <c r="P127" s="11" t="n"/>
      <c r="Q127">
        <f>IF($I127="","",ROUND(TODAY()-$I127,0))</f>
        <v/>
      </c>
      <c r="R127">
        <f>IF($B127="",0,IF(OR(AND(ISNUMBER($J127),$J127&lt;=TODAY(),$E127&lt;&gt;"Dead Lead"),AND($D127="",$E127&lt;&gt;"",$E127&lt;&gt;"Dead Lead",OR($I127="",$I127&lt;TODAY()))),1,0))</f>
        <v/>
      </c>
      <c r="S127">
        <f>IF($R127=1,SUMPRODUCT(($R$4:$R$203=1)*(($Q$4:$Q$203&gt;$Q127)+(($Q$4:$Q$203=$Q127)*(ROW($Q$4:$Q$203)&lt;ROW($Q127)))))+1,"")</f>
        <v/>
      </c>
      <c r="T127" s="11">
        <f>IF($B127="","",0)</f>
        <v/>
      </c>
      <c r="U127">
        <f>IF($B127="",0,IF($E127="Dead Lead",1,0))</f>
        <v/>
      </c>
      <c r="V127">
        <f>IF($U127=1,SUMPRODUCT(($U$4:$U$203=1)*(($J$4:$J$203&lt;$J127)+(($J$4:$J$203=$J127)*(ROW($J$4:$J$203)&lt;ROW($J127)))))+1,"")</f>
        <v/>
      </c>
      <c r="W127" s="12">
        <f>IF($B127="","","")</f>
        <v/>
      </c>
      <c r="X127" s="11">
        <f>IF($B127="","",0)</f>
        <v/>
      </c>
      <c r="Y127">
        <f>IF($B127="",0,IF(AND($R127=0,$E127&lt;&gt;"Dead Lead",ISNUMBER($J127),$J127&lt;=TODAY()+7),1,0))</f>
        <v/>
      </c>
      <c r="Z127">
        <f>IF($Y127=1,SUMPRODUCT(($Y$4:$Y$203=1)*(($J$4:$J$203&lt;$J127)+(($J$4:$J$203=$J127)*(ROW($J$4:$J$203)&lt;ROW($J127)))))+1,"")</f>
        <v/>
      </c>
      <c r="AA127" s="12">
        <f>IF($B127="","","")</f>
        <v/>
      </c>
      <c r="AB127" s="11">
        <f>IF($B127="","",0)</f>
        <v/>
      </c>
      <c r="AC127" s="11" t="n"/>
      <c r="AD127">
        <f>IF($E127="","",IF($E127="VIP Transferred",IF($AA127="","",IF(N($AB127)&gt;=3,"N/A - Closed",$AA127+CHOOSE(N($AB127)+1,1,2,3))),IF($I127="","",IF(VLOOKUP($E127,Lists!$C$2:$E$20,3,FALSE)="CLOSED","N/A - Closed",$I127+VLOOKUP($E127,Lists!$C$2:$E$20,3,FALSE)))))</f>
        <v/>
      </c>
      <c r="AE127">
        <f>IF(AND($AC127="Yes",$W127&lt;&gt;"",N($X127)&lt;3),$W127+CHOOSE(N($X127)+1,1,7,14),"")</f>
        <v/>
      </c>
      <c r="AF127" s="12">
        <f>IF($B127="","","")</f>
        <v/>
      </c>
    </row>
    <row r="128">
      <c r="A128" s="11">
        <f>IF($B128="","","YU-"&amp;TEXT(ROW()-3,"0000"))</f>
        <v/>
      </c>
      <c r="B128" s="11" t="n"/>
      <c r="C128" s="11" t="inlineStr">
        <is>
          <t>Discord</t>
        </is>
      </c>
      <c r="D128" s="11" t="n"/>
      <c r="E128" s="11" t="n"/>
      <c r="F128" s="11">
        <f>IF($E128="","",IF($E128="Dead Lead","Black",IF(IF(ISNUMBER($J128),TODAY()-$J128&gt;3,FALSE),"Red",IF($E128="Reactivation Queue","Red",IF(OR($E128="First Deposit",$E128="Active"),"Green","Yellow")))))</f>
        <v/>
      </c>
      <c r="G128" s="11">
        <f>IF($F128="","",IF($F128="Red",1,IF($F128="Yellow",2,IF($F128="Green",3,4))))</f>
        <v/>
      </c>
      <c r="H128" s="14" t="n"/>
      <c r="I128" s="14" t="n"/>
      <c r="J128" s="12">
        <f>IF($E128="","",IF(AND(ISNUMBER($AD128),ISNUMBER($AE128)),MIN($AD128,$AE128),IF(ISNUMBER($AE128),$AE128,$AD128)))</f>
        <v/>
      </c>
      <c r="K128" s="11">
        <f>IF($E128="","",IF($E128="VIP Transferred",IF(N($AB128)&gt;=3,"Should be Dead Lead (3 attempts, still no deposit) - will auto-update","Day "&amp;CHOOSE(N($AB128)+1,1,2,3)&amp;" URGENT VIP check-in - help them finish KYC and lock in first deposit"),IF(AND($D128="",$E128&lt;&gt;"Dead Lead"),IF(N($T128)&gt;=3,"READY FOR DEAD LEAD (3 attempts, still no sign-up)","GET ROOBET SIGN-UP - "&amp;IFERROR(VLOOKUP($E128,Lists!$C$2:$E$20,2,FALSE),"")),IFERROR(VLOOKUP($E128,Lists!$C$2:$E$20,2,FALSE),""))))&amp;IF($AC128="Yes",IF(N($X128)&gt;=3," | VIP Team checkpoints complete - no more automatic check-ins"," | Day "&amp;CHOOSE(N($X128)+1,1,7,14)&amp;" VIP Team check-in - confirm active/depositing"),"")</f>
        <v/>
      </c>
      <c r="L128" s="11" t="n"/>
      <c r="M128" s="11" t="n"/>
      <c r="N128" s="15" t="n"/>
      <c r="O128" s="11">
        <f>IF($E128="","",IF(AND($E128="Active",$F128="Green"),"Yes","No"))</f>
        <v/>
      </c>
      <c r="P128" s="11" t="n"/>
      <c r="Q128">
        <f>IF($I128="","",ROUND(TODAY()-$I128,0))</f>
        <v/>
      </c>
      <c r="R128">
        <f>IF($B128="",0,IF(OR(AND(ISNUMBER($J128),$J128&lt;=TODAY(),$E128&lt;&gt;"Dead Lead"),AND($D128="",$E128&lt;&gt;"",$E128&lt;&gt;"Dead Lead",OR($I128="",$I128&lt;TODAY()))),1,0))</f>
        <v/>
      </c>
      <c r="S128">
        <f>IF($R128=1,SUMPRODUCT(($R$4:$R$203=1)*(($Q$4:$Q$203&gt;$Q128)+(($Q$4:$Q$203=$Q128)*(ROW($Q$4:$Q$203)&lt;ROW($Q128)))))+1,"")</f>
        <v/>
      </c>
      <c r="T128" s="11">
        <f>IF($B128="","",0)</f>
        <v/>
      </c>
      <c r="U128">
        <f>IF($B128="",0,IF($E128="Dead Lead",1,0))</f>
        <v/>
      </c>
      <c r="V128">
        <f>IF($U128=1,SUMPRODUCT(($U$4:$U$203=1)*(($J$4:$J$203&lt;$J128)+(($J$4:$J$203=$J128)*(ROW($J$4:$J$203)&lt;ROW($J128)))))+1,"")</f>
        <v/>
      </c>
      <c r="W128" s="12">
        <f>IF($B128="","","")</f>
        <v/>
      </c>
      <c r="X128" s="11">
        <f>IF($B128="","",0)</f>
        <v/>
      </c>
      <c r="Y128">
        <f>IF($B128="",0,IF(AND($R128=0,$E128&lt;&gt;"Dead Lead",ISNUMBER($J128),$J128&lt;=TODAY()+7),1,0))</f>
        <v/>
      </c>
      <c r="Z128">
        <f>IF($Y128=1,SUMPRODUCT(($Y$4:$Y$203=1)*(($J$4:$J$203&lt;$J128)+(($J$4:$J$203=$J128)*(ROW($J$4:$J$203)&lt;ROW($J128)))))+1,"")</f>
        <v/>
      </c>
      <c r="AA128" s="12">
        <f>IF($B128="","","")</f>
        <v/>
      </c>
      <c r="AB128" s="11">
        <f>IF($B128="","",0)</f>
        <v/>
      </c>
      <c r="AC128" s="11" t="n"/>
      <c r="AD128">
        <f>IF($E128="","",IF($E128="VIP Transferred",IF($AA128="","",IF(N($AB128)&gt;=3,"N/A - Closed",$AA128+CHOOSE(N($AB128)+1,1,2,3))),IF($I128="","",IF(VLOOKUP($E128,Lists!$C$2:$E$20,3,FALSE)="CLOSED","N/A - Closed",$I128+VLOOKUP($E128,Lists!$C$2:$E$20,3,FALSE)))))</f>
        <v/>
      </c>
      <c r="AE128">
        <f>IF(AND($AC128="Yes",$W128&lt;&gt;"",N($X128)&lt;3),$W128+CHOOSE(N($X128)+1,1,7,14),"")</f>
        <v/>
      </c>
      <c r="AF128" s="12">
        <f>IF($B128="","","")</f>
        <v/>
      </c>
    </row>
    <row r="129">
      <c r="A129" s="11">
        <f>IF($B129="","","YU-"&amp;TEXT(ROW()-3,"0000"))</f>
        <v/>
      </c>
      <c r="B129" s="11" t="n"/>
      <c r="C129" s="11" t="inlineStr">
        <is>
          <t>Discord</t>
        </is>
      </c>
      <c r="D129" s="11" t="n"/>
      <c r="E129" s="11" t="n"/>
      <c r="F129" s="11">
        <f>IF($E129="","",IF($E129="Dead Lead","Black",IF(IF(ISNUMBER($J129),TODAY()-$J129&gt;3,FALSE),"Red",IF($E129="Reactivation Queue","Red",IF(OR($E129="First Deposit",$E129="Active"),"Green","Yellow")))))</f>
        <v/>
      </c>
      <c r="G129" s="11">
        <f>IF($F129="","",IF($F129="Red",1,IF($F129="Yellow",2,IF($F129="Green",3,4))))</f>
        <v/>
      </c>
      <c r="H129" s="14" t="n"/>
      <c r="I129" s="14" t="n"/>
      <c r="J129" s="12">
        <f>IF($E129="","",IF(AND(ISNUMBER($AD129),ISNUMBER($AE129)),MIN($AD129,$AE129),IF(ISNUMBER($AE129),$AE129,$AD129)))</f>
        <v/>
      </c>
      <c r="K129" s="11">
        <f>IF($E129="","",IF($E129="VIP Transferred",IF(N($AB129)&gt;=3,"Should be Dead Lead (3 attempts, still no deposit) - will auto-update","Day "&amp;CHOOSE(N($AB129)+1,1,2,3)&amp;" URGENT VIP check-in - help them finish KYC and lock in first deposit"),IF(AND($D129="",$E129&lt;&gt;"Dead Lead"),IF(N($T129)&gt;=3,"READY FOR DEAD LEAD (3 attempts, still no sign-up)","GET ROOBET SIGN-UP - "&amp;IFERROR(VLOOKUP($E129,Lists!$C$2:$E$20,2,FALSE),"")),IFERROR(VLOOKUP($E129,Lists!$C$2:$E$20,2,FALSE),""))))&amp;IF($AC129="Yes",IF(N($X129)&gt;=3," | VIP Team checkpoints complete - no more automatic check-ins"," | Day "&amp;CHOOSE(N($X129)+1,1,7,14)&amp;" VIP Team check-in - confirm active/depositing"),"")</f>
        <v/>
      </c>
      <c r="L129" s="11" t="n"/>
      <c r="M129" s="11" t="n"/>
      <c r="N129" s="15" t="n"/>
      <c r="O129" s="11">
        <f>IF($E129="","",IF(AND($E129="Active",$F129="Green"),"Yes","No"))</f>
        <v/>
      </c>
      <c r="P129" s="11" t="n"/>
      <c r="Q129">
        <f>IF($I129="","",ROUND(TODAY()-$I129,0))</f>
        <v/>
      </c>
      <c r="R129">
        <f>IF($B129="",0,IF(OR(AND(ISNUMBER($J129),$J129&lt;=TODAY(),$E129&lt;&gt;"Dead Lead"),AND($D129="",$E129&lt;&gt;"",$E129&lt;&gt;"Dead Lead",OR($I129="",$I129&lt;TODAY()))),1,0))</f>
        <v/>
      </c>
      <c r="S129">
        <f>IF($R129=1,SUMPRODUCT(($R$4:$R$203=1)*(($Q$4:$Q$203&gt;$Q129)+(($Q$4:$Q$203=$Q129)*(ROW($Q$4:$Q$203)&lt;ROW($Q129)))))+1,"")</f>
        <v/>
      </c>
      <c r="T129" s="11">
        <f>IF($B129="","",0)</f>
        <v/>
      </c>
      <c r="U129">
        <f>IF($B129="",0,IF($E129="Dead Lead",1,0))</f>
        <v/>
      </c>
      <c r="V129">
        <f>IF($U129=1,SUMPRODUCT(($U$4:$U$203=1)*(($J$4:$J$203&lt;$J129)+(($J$4:$J$203=$J129)*(ROW($J$4:$J$203)&lt;ROW($J129)))))+1,"")</f>
        <v/>
      </c>
      <c r="W129" s="12">
        <f>IF($B129="","","")</f>
        <v/>
      </c>
      <c r="X129" s="11">
        <f>IF($B129="","",0)</f>
        <v/>
      </c>
      <c r="Y129">
        <f>IF($B129="",0,IF(AND($R129=0,$E129&lt;&gt;"Dead Lead",ISNUMBER($J129),$J129&lt;=TODAY()+7),1,0))</f>
        <v/>
      </c>
      <c r="Z129">
        <f>IF($Y129=1,SUMPRODUCT(($Y$4:$Y$203=1)*(($J$4:$J$203&lt;$J129)+(($J$4:$J$203=$J129)*(ROW($J$4:$J$203)&lt;ROW($J129)))))+1,"")</f>
        <v/>
      </c>
      <c r="AA129" s="12">
        <f>IF($B129="","","")</f>
        <v/>
      </c>
      <c r="AB129" s="11">
        <f>IF($B129="","",0)</f>
        <v/>
      </c>
      <c r="AC129" s="11" t="n"/>
      <c r="AD129">
        <f>IF($E129="","",IF($E129="VIP Transferred",IF($AA129="","",IF(N($AB129)&gt;=3,"N/A - Closed",$AA129+CHOOSE(N($AB129)+1,1,2,3))),IF($I129="","",IF(VLOOKUP($E129,Lists!$C$2:$E$20,3,FALSE)="CLOSED","N/A - Closed",$I129+VLOOKUP($E129,Lists!$C$2:$E$20,3,FALSE)))))</f>
        <v/>
      </c>
      <c r="AE129">
        <f>IF(AND($AC129="Yes",$W129&lt;&gt;"",N($X129)&lt;3),$W129+CHOOSE(N($X129)+1,1,7,14),"")</f>
        <v/>
      </c>
      <c r="AF129" s="12">
        <f>IF($B129="","","")</f>
        <v/>
      </c>
    </row>
    <row r="130">
      <c r="A130" s="11">
        <f>IF($B130="","","YU-"&amp;TEXT(ROW()-3,"0000"))</f>
        <v/>
      </c>
      <c r="B130" s="11" t="n"/>
      <c r="C130" s="11" t="inlineStr">
        <is>
          <t>Discord</t>
        </is>
      </c>
      <c r="D130" s="11" t="n"/>
      <c r="E130" s="11" t="n"/>
      <c r="F130" s="11">
        <f>IF($E130="","",IF($E130="Dead Lead","Black",IF(IF(ISNUMBER($J130),TODAY()-$J130&gt;3,FALSE),"Red",IF($E130="Reactivation Queue","Red",IF(OR($E130="First Deposit",$E130="Active"),"Green","Yellow")))))</f>
        <v/>
      </c>
      <c r="G130" s="11">
        <f>IF($F130="","",IF($F130="Red",1,IF($F130="Yellow",2,IF($F130="Green",3,4))))</f>
        <v/>
      </c>
      <c r="H130" s="14" t="n"/>
      <c r="I130" s="14" t="n"/>
      <c r="J130" s="12">
        <f>IF($E130="","",IF(AND(ISNUMBER($AD130),ISNUMBER($AE130)),MIN($AD130,$AE130),IF(ISNUMBER($AE130),$AE130,$AD130)))</f>
        <v/>
      </c>
      <c r="K130" s="11">
        <f>IF($E130="","",IF($E130="VIP Transferred",IF(N($AB130)&gt;=3,"Should be Dead Lead (3 attempts, still no deposit) - will auto-update","Day "&amp;CHOOSE(N($AB130)+1,1,2,3)&amp;" URGENT VIP check-in - help them finish KYC and lock in first deposit"),IF(AND($D130="",$E130&lt;&gt;"Dead Lead"),IF(N($T130)&gt;=3,"READY FOR DEAD LEAD (3 attempts, still no sign-up)","GET ROOBET SIGN-UP - "&amp;IFERROR(VLOOKUP($E130,Lists!$C$2:$E$20,2,FALSE),"")),IFERROR(VLOOKUP($E130,Lists!$C$2:$E$20,2,FALSE),""))))&amp;IF($AC130="Yes",IF(N($X130)&gt;=3," | VIP Team checkpoints complete - no more automatic check-ins"," | Day "&amp;CHOOSE(N($X130)+1,1,7,14)&amp;" VIP Team check-in - confirm active/depositing"),"")</f>
        <v/>
      </c>
      <c r="L130" s="11" t="n"/>
      <c r="M130" s="11" t="n"/>
      <c r="N130" s="15" t="n"/>
      <c r="O130" s="11">
        <f>IF($E130="","",IF(AND($E130="Active",$F130="Green"),"Yes","No"))</f>
        <v/>
      </c>
      <c r="P130" s="11" t="n"/>
      <c r="Q130">
        <f>IF($I130="","",ROUND(TODAY()-$I130,0))</f>
        <v/>
      </c>
      <c r="R130">
        <f>IF($B130="",0,IF(OR(AND(ISNUMBER($J130),$J130&lt;=TODAY(),$E130&lt;&gt;"Dead Lead"),AND($D130="",$E130&lt;&gt;"",$E130&lt;&gt;"Dead Lead",OR($I130="",$I130&lt;TODAY()))),1,0))</f>
        <v/>
      </c>
      <c r="S130">
        <f>IF($R130=1,SUMPRODUCT(($R$4:$R$203=1)*(($Q$4:$Q$203&gt;$Q130)+(($Q$4:$Q$203=$Q130)*(ROW($Q$4:$Q$203)&lt;ROW($Q130)))))+1,"")</f>
        <v/>
      </c>
      <c r="T130" s="11">
        <f>IF($B130="","",0)</f>
        <v/>
      </c>
      <c r="U130">
        <f>IF($B130="",0,IF($E130="Dead Lead",1,0))</f>
        <v/>
      </c>
      <c r="V130">
        <f>IF($U130=1,SUMPRODUCT(($U$4:$U$203=1)*(($J$4:$J$203&lt;$J130)+(($J$4:$J$203=$J130)*(ROW($J$4:$J$203)&lt;ROW($J130)))))+1,"")</f>
        <v/>
      </c>
      <c r="W130" s="12">
        <f>IF($B130="","","")</f>
        <v/>
      </c>
      <c r="X130" s="11">
        <f>IF($B130="","",0)</f>
        <v/>
      </c>
      <c r="Y130">
        <f>IF($B130="",0,IF(AND($R130=0,$E130&lt;&gt;"Dead Lead",ISNUMBER($J130),$J130&lt;=TODAY()+7),1,0))</f>
        <v/>
      </c>
      <c r="Z130">
        <f>IF($Y130=1,SUMPRODUCT(($Y$4:$Y$203=1)*(($J$4:$J$203&lt;$J130)+(($J$4:$J$203=$J130)*(ROW($J$4:$J$203)&lt;ROW($J130)))))+1,"")</f>
        <v/>
      </c>
      <c r="AA130" s="12">
        <f>IF($B130="","","")</f>
        <v/>
      </c>
      <c r="AB130" s="11">
        <f>IF($B130="","",0)</f>
        <v/>
      </c>
      <c r="AC130" s="11" t="n"/>
      <c r="AD130">
        <f>IF($E130="","",IF($E130="VIP Transferred",IF($AA130="","",IF(N($AB130)&gt;=3,"N/A - Closed",$AA130+CHOOSE(N($AB130)+1,1,2,3))),IF($I130="","",IF(VLOOKUP($E130,Lists!$C$2:$E$20,3,FALSE)="CLOSED","N/A - Closed",$I130+VLOOKUP($E130,Lists!$C$2:$E$20,3,FALSE)))))</f>
        <v/>
      </c>
      <c r="AE130">
        <f>IF(AND($AC130="Yes",$W130&lt;&gt;"",N($X130)&lt;3),$W130+CHOOSE(N($X130)+1,1,7,14),"")</f>
        <v/>
      </c>
      <c r="AF130" s="12">
        <f>IF($B130="","","")</f>
        <v/>
      </c>
    </row>
    <row r="131">
      <c r="A131" s="11">
        <f>IF($B131="","","YU-"&amp;TEXT(ROW()-3,"0000"))</f>
        <v/>
      </c>
      <c r="B131" s="11" t="n"/>
      <c r="C131" s="11" t="inlineStr">
        <is>
          <t>Discord</t>
        </is>
      </c>
      <c r="D131" s="11" t="n"/>
      <c r="E131" s="11" t="n"/>
      <c r="F131" s="11">
        <f>IF($E131="","",IF($E131="Dead Lead","Black",IF(IF(ISNUMBER($J131),TODAY()-$J131&gt;3,FALSE),"Red",IF($E131="Reactivation Queue","Red",IF(OR($E131="First Deposit",$E131="Active"),"Green","Yellow")))))</f>
        <v/>
      </c>
      <c r="G131" s="11">
        <f>IF($F131="","",IF($F131="Red",1,IF($F131="Yellow",2,IF($F131="Green",3,4))))</f>
        <v/>
      </c>
      <c r="H131" s="14" t="n"/>
      <c r="I131" s="14" t="n"/>
      <c r="J131" s="12">
        <f>IF($E131="","",IF(AND(ISNUMBER($AD131),ISNUMBER($AE131)),MIN($AD131,$AE131),IF(ISNUMBER($AE131),$AE131,$AD131)))</f>
        <v/>
      </c>
      <c r="K131" s="11">
        <f>IF($E131="","",IF($E131="VIP Transferred",IF(N($AB131)&gt;=3,"Should be Dead Lead (3 attempts, still no deposit) - will auto-update","Day "&amp;CHOOSE(N($AB131)+1,1,2,3)&amp;" URGENT VIP check-in - help them finish KYC and lock in first deposit"),IF(AND($D131="",$E131&lt;&gt;"Dead Lead"),IF(N($T131)&gt;=3,"READY FOR DEAD LEAD (3 attempts, still no sign-up)","GET ROOBET SIGN-UP - "&amp;IFERROR(VLOOKUP($E131,Lists!$C$2:$E$20,2,FALSE),"")),IFERROR(VLOOKUP($E131,Lists!$C$2:$E$20,2,FALSE),""))))&amp;IF($AC131="Yes",IF(N($X131)&gt;=3," | VIP Team checkpoints complete - no more automatic check-ins"," | Day "&amp;CHOOSE(N($X131)+1,1,7,14)&amp;" VIP Team check-in - confirm active/depositing"),"")</f>
        <v/>
      </c>
      <c r="L131" s="11" t="n"/>
      <c r="M131" s="11" t="n"/>
      <c r="N131" s="15" t="n"/>
      <c r="O131" s="11">
        <f>IF($E131="","",IF(AND($E131="Active",$F131="Green"),"Yes","No"))</f>
        <v/>
      </c>
      <c r="P131" s="11" t="n"/>
      <c r="Q131">
        <f>IF($I131="","",ROUND(TODAY()-$I131,0))</f>
        <v/>
      </c>
      <c r="R131">
        <f>IF($B131="",0,IF(OR(AND(ISNUMBER($J131),$J131&lt;=TODAY(),$E131&lt;&gt;"Dead Lead"),AND($D131="",$E131&lt;&gt;"",$E131&lt;&gt;"Dead Lead",OR($I131="",$I131&lt;TODAY()))),1,0))</f>
        <v/>
      </c>
      <c r="S131">
        <f>IF($R131=1,SUMPRODUCT(($R$4:$R$203=1)*(($Q$4:$Q$203&gt;$Q131)+(($Q$4:$Q$203=$Q131)*(ROW($Q$4:$Q$203)&lt;ROW($Q131)))))+1,"")</f>
        <v/>
      </c>
      <c r="T131" s="11">
        <f>IF($B131="","",0)</f>
        <v/>
      </c>
      <c r="U131">
        <f>IF($B131="",0,IF($E131="Dead Lead",1,0))</f>
        <v/>
      </c>
      <c r="V131">
        <f>IF($U131=1,SUMPRODUCT(($U$4:$U$203=1)*(($J$4:$J$203&lt;$J131)+(($J$4:$J$203=$J131)*(ROW($J$4:$J$203)&lt;ROW($J131)))))+1,"")</f>
        <v/>
      </c>
      <c r="W131" s="12">
        <f>IF($B131="","","")</f>
        <v/>
      </c>
      <c r="X131" s="11">
        <f>IF($B131="","",0)</f>
        <v/>
      </c>
      <c r="Y131">
        <f>IF($B131="",0,IF(AND($R131=0,$E131&lt;&gt;"Dead Lead",ISNUMBER($J131),$J131&lt;=TODAY()+7),1,0))</f>
        <v/>
      </c>
      <c r="Z131">
        <f>IF($Y131=1,SUMPRODUCT(($Y$4:$Y$203=1)*(($J$4:$J$203&lt;$J131)+(($J$4:$J$203=$J131)*(ROW($J$4:$J$203)&lt;ROW($J131)))))+1,"")</f>
        <v/>
      </c>
      <c r="AA131" s="12">
        <f>IF($B131="","","")</f>
        <v/>
      </c>
      <c r="AB131" s="11">
        <f>IF($B131="","",0)</f>
        <v/>
      </c>
      <c r="AC131" s="11" t="n"/>
      <c r="AD131">
        <f>IF($E131="","",IF($E131="VIP Transferred",IF($AA131="","",IF(N($AB131)&gt;=3,"N/A - Closed",$AA131+CHOOSE(N($AB131)+1,1,2,3))),IF($I131="","",IF(VLOOKUP($E131,Lists!$C$2:$E$20,3,FALSE)="CLOSED","N/A - Closed",$I131+VLOOKUP($E131,Lists!$C$2:$E$20,3,FALSE)))))</f>
        <v/>
      </c>
      <c r="AE131">
        <f>IF(AND($AC131="Yes",$W131&lt;&gt;"",N($X131)&lt;3),$W131+CHOOSE(N($X131)+1,1,7,14),"")</f>
        <v/>
      </c>
      <c r="AF131" s="12">
        <f>IF($B131="","","")</f>
        <v/>
      </c>
    </row>
    <row r="132">
      <c r="A132" s="11">
        <f>IF($B132="","","YU-"&amp;TEXT(ROW()-3,"0000"))</f>
        <v/>
      </c>
      <c r="B132" s="11" t="n"/>
      <c r="C132" s="11" t="inlineStr">
        <is>
          <t>Discord</t>
        </is>
      </c>
      <c r="D132" s="11" t="n"/>
      <c r="E132" s="11" t="n"/>
      <c r="F132" s="11">
        <f>IF($E132="","",IF($E132="Dead Lead","Black",IF(IF(ISNUMBER($J132),TODAY()-$J132&gt;3,FALSE),"Red",IF($E132="Reactivation Queue","Red",IF(OR($E132="First Deposit",$E132="Active"),"Green","Yellow")))))</f>
        <v/>
      </c>
      <c r="G132" s="11">
        <f>IF($F132="","",IF($F132="Red",1,IF($F132="Yellow",2,IF($F132="Green",3,4))))</f>
        <v/>
      </c>
      <c r="H132" s="14" t="n"/>
      <c r="I132" s="14" t="n"/>
      <c r="J132" s="12">
        <f>IF($E132="","",IF(AND(ISNUMBER($AD132),ISNUMBER($AE132)),MIN($AD132,$AE132),IF(ISNUMBER($AE132),$AE132,$AD132)))</f>
        <v/>
      </c>
      <c r="K132" s="11">
        <f>IF($E132="","",IF($E132="VIP Transferred",IF(N($AB132)&gt;=3,"Should be Dead Lead (3 attempts, still no deposit) - will auto-update","Day "&amp;CHOOSE(N($AB132)+1,1,2,3)&amp;" URGENT VIP check-in - help them finish KYC and lock in first deposit"),IF(AND($D132="",$E132&lt;&gt;"Dead Lead"),IF(N($T132)&gt;=3,"READY FOR DEAD LEAD (3 attempts, still no sign-up)","GET ROOBET SIGN-UP - "&amp;IFERROR(VLOOKUP($E132,Lists!$C$2:$E$20,2,FALSE),"")),IFERROR(VLOOKUP($E132,Lists!$C$2:$E$20,2,FALSE),""))))&amp;IF($AC132="Yes",IF(N($X132)&gt;=3," | VIP Team checkpoints complete - no more automatic check-ins"," | Day "&amp;CHOOSE(N($X132)+1,1,7,14)&amp;" VIP Team check-in - confirm active/depositing"),"")</f>
        <v/>
      </c>
      <c r="L132" s="11" t="n"/>
      <c r="M132" s="11" t="n"/>
      <c r="N132" s="15" t="n"/>
      <c r="O132" s="11">
        <f>IF($E132="","",IF(AND($E132="Active",$F132="Green"),"Yes","No"))</f>
        <v/>
      </c>
      <c r="P132" s="11" t="n"/>
      <c r="Q132">
        <f>IF($I132="","",ROUND(TODAY()-$I132,0))</f>
        <v/>
      </c>
      <c r="R132">
        <f>IF($B132="",0,IF(OR(AND(ISNUMBER($J132),$J132&lt;=TODAY(),$E132&lt;&gt;"Dead Lead"),AND($D132="",$E132&lt;&gt;"",$E132&lt;&gt;"Dead Lead",OR($I132="",$I132&lt;TODAY()))),1,0))</f>
        <v/>
      </c>
      <c r="S132">
        <f>IF($R132=1,SUMPRODUCT(($R$4:$R$203=1)*(($Q$4:$Q$203&gt;$Q132)+(($Q$4:$Q$203=$Q132)*(ROW($Q$4:$Q$203)&lt;ROW($Q132)))))+1,"")</f>
        <v/>
      </c>
      <c r="T132" s="11">
        <f>IF($B132="","",0)</f>
        <v/>
      </c>
      <c r="U132">
        <f>IF($B132="",0,IF($E132="Dead Lead",1,0))</f>
        <v/>
      </c>
      <c r="V132">
        <f>IF($U132=1,SUMPRODUCT(($U$4:$U$203=1)*(($J$4:$J$203&lt;$J132)+(($J$4:$J$203=$J132)*(ROW($J$4:$J$203)&lt;ROW($J132)))))+1,"")</f>
        <v/>
      </c>
      <c r="W132" s="12">
        <f>IF($B132="","","")</f>
        <v/>
      </c>
      <c r="X132" s="11">
        <f>IF($B132="","",0)</f>
        <v/>
      </c>
      <c r="Y132">
        <f>IF($B132="",0,IF(AND($R132=0,$E132&lt;&gt;"Dead Lead",ISNUMBER($J132),$J132&lt;=TODAY()+7),1,0))</f>
        <v/>
      </c>
      <c r="Z132">
        <f>IF($Y132=1,SUMPRODUCT(($Y$4:$Y$203=1)*(($J$4:$J$203&lt;$J132)+(($J$4:$J$203=$J132)*(ROW($J$4:$J$203)&lt;ROW($J132)))))+1,"")</f>
        <v/>
      </c>
      <c r="AA132" s="12">
        <f>IF($B132="","","")</f>
        <v/>
      </c>
      <c r="AB132" s="11">
        <f>IF($B132="","",0)</f>
        <v/>
      </c>
      <c r="AC132" s="11" t="n"/>
      <c r="AD132">
        <f>IF($E132="","",IF($E132="VIP Transferred",IF($AA132="","",IF(N($AB132)&gt;=3,"N/A - Closed",$AA132+CHOOSE(N($AB132)+1,1,2,3))),IF($I132="","",IF(VLOOKUP($E132,Lists!$C$2:$E$20,3,FALSE)="CLOSED","N/A - Closed",$I132+VLOOKUP($E132,Lists!$C$2:$E$20,3,FALSE)))))</f>
        <v/>
      </c>
      <c r="AE132">
        <f>IF(AND($AC132="Yes",$W132&lt;&gt;"",N($X132)&lt;3),$W132+CHOOSE(N($X132)+1,1,7,14),"")</f>
        <v/>
      </c>
      <c r="AF132" s="12">
        <f>IF($B132="","","")</f>
        <v/>
      </c>
    </row>
    <row r="133">
      <c r="A133" s="11">
        <f>IF($B133="","","YU-"&amp;TEXT(ROW()-3,"0000"))</f>
        <v/>
      </c>
      <c r="B133" s="11" t="n"/>
      <c r="C133" s="11" t="inlineStr">
        <is>
          <t>Discord</t>
        </is>
      </c>
      <c r="D133" s="11" t="n"/>
      <c r="E133" s="11" t="n"/>
      <c r="F133" s="11">
        <f>IF($E133="","",IF($E133="Dead Lead","Black",IF(IF(ISNUMBER($J133),TODAY()-$J133&gt;3,FALSE),"Red",IF($E133="Reactivation Queue","Red",IF(OR($E133="First Deposit",$E133="Active"),"Green","Yellow")))))</f>
        <v/>
      </c>
      <c r="G133" s="11">
        <f>IF($F133="","",IF($F133="Red",1,IF($F133="Yellow",2,IF($F133="Green",3,4))))</f>
        <v/>
      </c>
      <c r="H133" s="14" t="n"/>
      <c r="I133" s="14" t="n"/>
      <c r="J133" s="12">
        <f>IF($E133="","",IF(AND(ISNUMBER($AD133),ISNUMBER($AE133)),MIN($AD133,$AE133),IF(ISNUMBER($AE133),$AE133,$AD133)))</f>
        <v/>
      </c>
      <c r="K133" s="11">
        <f>IF($E133="","",IF($E133="VIP Transferred",IF(N($AB133)&gt;=3,"Should be Dead Lead (3 attempts, still no deposit) - will auto-update","Day "&amp;CHOOSE(N($AB133)+1,1,2,3)&amp;" URGENT VIP check-in - help them finish KYC and lock in first deposit"),IF(AND($D133="",$E133&lt;&gt;"Dead Lead"),IF(N($T133)&gt;=3,"READY FOR DEAD LEAD (3 attempts, still no sign-up)","GET ROOBET SIGN-UP - "&amp;IFERROR(VLOOKUP($E133,Lists!$C$2:$E$20,2,FALSE),"")),IFERROR(VLOOKUP($E133,Lists!$C$2:$E$20,2,FALSE),""))))&amp;IF($AC133="Yes",IF(N($X133)&gt;=3," | VIP Team checkpoints complete - no more automatic check-ins"," | Day "&amp;CHOOSE(N($X133)+1,1,7,14)&amp;" VIP Team check-in - confirm active/depositing"),"")</f>
        <v/>
      </c>
      <c r="L133" s="11" t="n"/>
      <c r="M133" s="11" t="n"/>
      <c r="N133" s="15" t="n"/>
      <c r="O133" s="11">
        <f>IF($E133="","",IF(AND($E133="Active",$F133="Green"),"Yes","No"))</f>
        <v/>
      </c>
      <c r="P133" s="11" t="n"/>
      <c r="Q133">
        <f>IF($I133="","",ROUND(TODAY()-$I133,0))</f>
        <v/>
      </c>
      <c r="R133">
        <f>IF($B133="",0,IF(OR(AND(ISNUMBER($J133),$J133&lt;=TODAY(),$E133&lt;&gt;"Dead Lead"),AND($D133="",$E133&lt;&gt;"",$E133&lt;&gt;"Dead Lead",OR($I133="",$I133&lt;TODAY()))),1,0))</f>
        <v/>
      </c>
      <c r="S133">
        <f>IF($R133=1,SUMPRODUCT(($R$4:$R$203=1)*(($Q$4:$Q$203&gt;$Q133)+(($Q$4:$Q$203=$Q133)*(ROW($Q$4:$Q$203)&lt;ROW($Q133)))))+1,"")</f>
        <v/>
      </c>
      <c r="T133" s="11">
        <f>IF($B133="","",0)</f>
        <v/>
      </c>
      <c r="U133">
        <f>IF($B133="",0,IF($E133="Dead Lead",1,0))</f>
        <v/>
      </c>
      <c r="V133">
        <f>IF($U133=1,SUMPRODUCT(($U$4:$U$203=1)*(($J$4:$J$203&lt;$J133)+(($J$4:$J$203=$J133)*(ROW($J$4:$J$203)&lt;ROW($J133)))))+1,"")</f>
        <v/>
      </c>
      <c r="W133" s="12">
        <f>IF($B133="","","")</f>
        <v/>
      </c>
      <c r="X133" s="11">
        <f>IF($B133="","",0)</f>
        <v/>
      </c>
      <c r="Y133">
        <f>IF($B133="",0,IF(AND($R133=0,$E133&lt;&gt;"Dead Lead",ISNUMBER($J133),$J133&lt;=TODAY()+7),1,0))</f>
        <v/>
      </c>
      <c r="Z133">
        <f>IF($Y133=1,SUMPRODUCT(($Y$4:$Y$203=1)*(($J$4:$J$203&lt;$J133)+(($J$4:$J$203=$J133)*(ROW($J$4:$J$203)&lt;ROW($J133)))))+1,"")</f>
        <v/>
      </c>
      <c r="AA133" s="12">
        <f>IF($B133="","","")</f>
        <v/>
      </c>
      <c r="AB133" s="11">
        <f>IF($B133="","",0)</f>
        <v/>
      </c>
      <c r="AC133" s="11" t="n"/>
      <c r="AD133">
        <f>IF($E133="","",IF($E133="VIP Transferred",IF($AA133="","",IF(N($AB133)&gt;=3,"N/A - Closed",$AA133+CHOOSE(N($AB133)+1,1,2,3))),IF($I133="","",IF(VLOOKUP($E133,Lists!$C$2:$E$20,3,FALSE)="CLOSED","N/A - Closed",$I133+VLOOKUP($E133,Lists!$C$2:$E$20,3,FALSE)))))</f>
        <v/>
      </c>
      <c r="AE133">
        <f>IF(AND($AC133="Yes",$W133&lt;&gt;"",N($X133)&lt;3),$W133+CHOOSE(N($X133)+1,1,7,14),"")</f>
        <v/>
      </c>
      <c r="AF133" s="12">
        <f>IF($B133="","","")</f>
        <v/>
      </c>
    </row>
    <row r="134">
      <c r="A134" s="11">
        <f>IF($B134="","","YU-"&amp;TEXT(ROW()-3,"0000"))</f>
        <v/>
      </c>
      <c r="B134" s="11" t="n"/>
      <c r="C134" s="11" t="inlineStr">
        <is>
          <t>Discord</t>
        </is>
      </c>
      <c r="D134" s="11" t="n"/>
      <c r="E134" s="11" t="n"/>
      <c r="F134" s="11">
        <f>IF($E134="","",IF($E134="Dead Lead","Black",IF(IF(ISNUMBER($J134),TODAY()-$J134&gt;3,FALSE),"Red",IF($E134="Reactivation Queue","Red",IF(OR($E134="First Deposit",$E134="Active"),"Green","Yellow")))))</f>
        <v/>
      </c>
      <c r="G134" s="11">
        <f>IF($F134="","",IF($F134="Red",1,IF($F134="Yellow",2,IF($F134="Green",3,4))))</f>
        <v/>
      </c>
      <c r="H134" s="14" t="n"/>
      <c r="I134" s="14" t="n"/>
      <c r="J134" s="12">
        <f>IF($E134="","",IF(AND(ISNUMBER($AD134),ISNUMBER($AE134)),MIN($AD134,$AE134),IF(ISNUMBER($AE134),$AE134,$AD134)))</f>
        <v/>
      </c>
      <c r="K134" s="11">
        <f>IF($E134="","",IF($E134="VIP Transferred",IF(N($AB134)&gt;=3,"Should be Dead Lead (3 attempts, still no deposit) - will auto-update","Day "&amp;CHOOSE(N($AB134)+1,1,2,3)&amp;" URGENT VIP check-in - help them finish KYC and lock in first deposit"),IF(AND($D134="",$E134&lt;&gt;"Dead Lead"),IF(N($T134)&gt;=3,"READY FOR DEAD LEAD (3 attempts, still no sign-up)","GET ROOBET SIGN-UP - "&amp;IFERROR(VLOOKUP($E134,Lists!$C$2:$E$20,2,FALSE),"")),IFERROR(VLOOKUP($E134,Lists!$C$2:$E$20,2,FALSE),""))))&amp;IF($AC134="Yes",IF(N($X134)&gt;=3," | VIP Team checkpoints complete - no more automatic check-ins"," | Day "&amp;CHOOSE(N($X134)+1,1,7,14)&amp;" VIP Team check-in - confirm active/depositing"),"")</f>
        <v/>
      </c>
      <c r="L134" s="11" t="n"/>
      <c r="M134" s="11" t="n"/>
      <c r="N134" s="15" t="n"/>
      <c r="O134" s="11">
        <f>IF($E134="","",IF(AND($E134="Active",$F134="Green"),"Yes","No"))</f>
        <v/>
      </c>
      <c r="P134" s="11" t="n"/>
      <c r="Q134">
        <f>IF($I134="","",ROUND(TODAY()-$I134,0))</f>
        <v/>
      </c>
      <c r="R134">
        <f>IF($B134="",0,IF(OR(AND(ISNUMBER($J134),$J134&lt;=TODAY(),$E134&lt;&gt;"Dead Lead"),AND($D134="",$E134&lt;&gt;"",$E134&lt;&gt;"Dead Lead",OR($I134="",$I134&lt;TODAY()))),1,0))</f>
        <v/>
      </c>
      <c r="S134">
        <f>IF($R134=1,SUMPRODUCT(($R$4:$R$203=1)*(($Q$4:$Q$203&gt;$Q134)+(($Q$4:$Q$203=$Q134)*(ROW($Q$4:$Q$203)&lt;ROW($Q134)))))+1,"")</f>
        <v/>
      </c>
      <c r="T134" s="11">
        <f>IF($B134="","",0)</f>
        <v/>
      </c>
      <c r="U134">
        <f>IF($B134="",0,IF($E134="Dead Lead",1,0))</f>
        <v/>
      </c>
      <c r="V134">
        <f>IF($U134=1,SUMPRODUCT(($U$4:$U$203=1)*(($J$4:$J$203&lt;$J134)+(($J$4:$J$203=$J134)*(ROW($J$4:$J$203)&lt;ROW($J134)))))+1,"")</f>
        <v/>
      </c>
      <c r="W134" s="12">
        <f>IF($B134="","","")</f>
        <v/>
      </c>
      <c r="X134" s="11">
        <f>IF($B134="","",0)</f>
        <v/>
      </c>
      <c r="Y134">
        <f>IF($B134="",0,IF(AND($R134=0,$E134&lt;&gt;"Dead Lead",ISNUMBER($J134),$J134&lt;=TODAY()+7),1,0))</f>
        <v/>
      </c>
      <c r="Z134">
        <f>IF($Y134=1,SUMPRODUCT(($Y$4:$Y$203=1)*(($J$4:$J$203&lt;$J134)+(($J$4:$J$203=$J134)*(ROW($J$4:$J$203)&lt;ROW($J134)))))+1,"")</f>
        <v/>
      </c>
      <c r="AA134" s="12">
        <f>IF($B134="","","")</f>
        <v/>
      </c>
      <c r="AB134" s="11">
        <f>IF($B134="","",0)</f>
        <v/>
      </c>
      <c r="AC134" s="11" t="n"/>
      <c r="AD134">
        <f>IF($E134="","",IF($E134="VIP Transferred",IF($AA134="","",IF(N($AB134)&gt;=3,"N/A - Closed",$AA134+CHOOSE(N($AB134)+1,1,2,3))),IF($I134="","",IF(VLOOKUP($E134,Lists!$C$2:$E$20,3,FALSE)="CLOSED","N/A - Closed",$I134+VLOOKUP($E134,Lists!$C$2:$E$20,3,FALSE)))))</f>
        <v/>
      </c>
      <c r="AE134">
        <f>IF(AND($AC134="Yes",$W134&lt;&gt;"",N($X134)&lt;3),$W134+CHOOSE(N($X134)+1,1,7,14),"")</f>
        <v/>
      </c>
      <c r="AF134" s="12">
        <f>IF($B134="","","")</f>
        <v/>
      </c>
    </row>
    <row r="135">
      <c r="A135" s="11">
        <f>IF($B135="","","YU-"&amp;TEXT(ROW()-3,"0000"))</f>
        <v/>
      </c>
      <c r="B135" s="11" t="n"/>
      <c r="C135" s="11" t="inlineStr">
        <is>
          <t>Discord</t>
        </is>
      </c>
      <c r="D135" s="11" t="n"/>
      <c r="E135" s="11" t="n"/>
      <c r="F135" s="11">
        <f>IF($E135="","",IF($E135="Dead Lead","Black",IF(IF(ISNUMBER($J135),TODAY()-$J135&gt;3,FALSE),"Red",IF($E135="Reactivation Queue","Red",IF(OR($E135="First Deposit",$E135="Active"),"Green","Yellow")))))</f>
        <v/>
      </c>
      <c r="G135" s="11">
        <f>IF($F135="","",IF($F135="Red",1,IF($F135="Yellow",2,IF($F135="Green",3,4))))</f>
        <v/>
      </c>
      <c r="H135" s="14" t="n"/>
      <c r="I135" s="14" t="n"/>
      <c r="J135" s="12">
        <f>IF($E135="","",IF(AND(ISNUMBER($AD135),ISNUMBER($AE135)),MIN($AD135,$AE135),IF(ISNUMBER($AE135),$AE135,$AD135)))</f>
        <v/>
      </c>
      <c r="K135" s="11">
        <f>IF($E135="","",IF($E135="VIP Transferred",IF(N($AB135)&gt;=3,"Should be Dead Lead (3 attempts, still no deposit) - will auto-update","Day "&amp;CHOOSE(N($AB135)+1,1,2,3)&amp;" URGENT VIP check-in - help them finish KYC and lock in first deposit"),IF(AND($D135="",$E135&lt;&gt;"Dead Lead"),IF(N($T135)&gt;=3,"READY FOR DEAD LEAD (3 attempts, still no sign-up)","GET ROOBET SIGN-UP - "&amp;IFERROR(VLOOKUP($E135,Lists!$C$2:$E$20,2,FALSE),"")),IFERROR(VLOOKUP($E135,Lists!$C$2:$E$20,2,FALSE),""))))&amp;IF($AC135="Yes",IF(N($X135)&gt;=3," | VIP Team checkpoints complete - no more automatic check-ins"," | Day "&amp;CHOOSE(N($X135)+1,1,7,14)&amp;" VIP Team check-in - confirm active/depositing"),"")</f>
        <v/>
      </c>
      <c r="L135" s="11" t="n"/>
      <c r="M135" s="11" t="n"/>
      <c r="N135" s="15" t="n"/>
      <c r="O135" s="11">
        <f>IF($E135="","",IF(AND($E135="Active",$F135="Green"),"Yes","No"))</f>
        <v/>
      </c>
      <c r="P135" s="11" t="n"/>
      <c r="Q135">
        <f>IF($I135="","",ROUND(TODAY()-$I135,0))</f>
        <v/>
      </c>
      <c r="R135">
        <f>IF($B135="",0,IF(OR(AND(ISNUMBER($J135),$J135&lt;=TODAY(),$E135&lt;&gt;"Dead Lead"),AND($D135="",$E135&lt;&gt;"",$E135&lt;&gt;"Dead Lead",OR($I135="",$I135&lt;TODAY()))),1,0))</f>
        <v/>
      </c>
      <c r="S135">
        <f>IF($R135=1,SUMPRODUCT(($R$4:$R$203=1)*(($Q$4:$Q$203&gt;$Q135)+(($Q$4:$Q$203=$Q135)*(ROW($Q$4:$Q$203)&lt;ROW($Q135)))))+1,"")</f>
        <v/>
      </c>
      <c r="T135" s="11">
        <f>IF($B135="","",0)</f>
        <v/>
      </c>
      <c r="U135">
        <f>IF($B135="",0,IF($E135="Dead Lead",1,0))</f>
        <v/>
      </c>
      <c r="V135">
        <f>IF($U135=1,SUMPRODUCT(($U$4:$U$203=1)*(($J$4:$J$203&lt;$J135)+(($J$4:$J$203=$J135)*(ROW($J$4:$J$203)&lt;ROW($J135)))))+1,"")</f>
        <v/>
      </c>
      <c r="W135" s="12">
        <f>IF($B135="","","")</f>
        <v/>
      </c>
      <c r="X135" s="11">
        <f>IF($B135="","",0)</f>
        <v/>
      </c>
      <c r="Y135">
        <f>IF($B135="",0,IF(AND($R135=0,$E135&lt;&gt;"Dead Lead",ISNUMBER($J135),$J135&lt;=TODAY()+7),1,0))</f>
        <v/>
      </c>
      <c r="Z135">
        <f>IF($Y135=1,SUMPRODUCT(($Y$4:$Y$203=1)*(($J$4:$J$203&lt;$J135)+(($J$4:$J$203=$J135)*(ROW($J$4:$J$203)&lt;ROW($J135)))))+1,"")</f>
        <v/>
      </c>
      <c r="AA135" s="12">
        <f>IF($B135="","","")</f>
        <v/>
      </c>
      <c r="AB135" s="11">
        <f>IF($B135="","",0)</f>
        <v/>
      </c>
      <c r="AC135" s="11" t="n"/>
      <c r="AD135">
        <f>IF($E135="","",IF($E135="VIP Transferred",IF($AA135="","",IF(N($AB135)&gt;=3,"N/A - Closed",$AA135+CHOOSE(N($AB135)+1,1,2,3))),IF($I135="","",IF(VLOOKUP($E135,Lists!$C$2:$E$20,3,FALSE)="CLOSED","N/A - Closed",$I135+VLOOKUP($E135,Lists!$C$2:$E$20,3,FALSE)))))</f>
        <v/>
      </c>
      <c r="AE135">
        <f>IF(AND($AC135="Yes",$W135&lt;&gt;"",N($X135)&lt;3),$W135+CHOOSE(N($X135)+1,1,7,14),"")</f>
        <v/>
      </c>
      <c r="AF135" s="12">
        <f>IF($B135="","","")</f>
        <v/>
      </c>
    </row>
    <row r="136">
      <c r="A136" s="11">
        <f>IF($B136="","","YU-"&amp;TEXT(ROW()-3,"0000"))</f>
        <v/>
      </c>
      <c r="B136" s="11" t="n"/>
      <c r="C136" s="11" t="inlineStr">
        <is>
          <t>Discord</t>
        </is>
      </c>
      <c r="D136" s="11" t="n"/>
      <c r="E136" s="11" t="n"/>
      <c r="F136" s="11">
        <f>IF($E136="","",IF($E136="Dead Lead","Black",IF(IF(ISNUMBER($J136),TODAY()-$J136&gt;3,FALSE),"Red",IF($E136="Reactivation Queue","Red",IF(OR($E136="First Deposit",$E136="Active"),"Green","Yellow")))))</f>
        <v/>
      </c>
      <c r="G136" s="11">
        <f>IF($F136="","",IF($F136="Red",1,IF($F136="Yellow",2,IF($F136="Green",3,4))))</f>
        <v/>
      </c>
      <c r="H136" s="14" t="n"/>
      <c r="I136" s="14" t="n"/>
      <c r="J136" s="12">
        <f>IF($E136="","",IF(AND(ISNUMBER($AD136),ISNUMBER($AE136)),MIN($AD136,$AE136),IF(ISNUMBER($AE136),$AE136,$AD136)))</f>
        <v/>
      </c>
      <c r="K136" s="11">
        <f>IF($E136="","",IF($E136="VIP Transferred",IF(N($AB136)&gt;=3,"Should be Dead Lead (3 attempts, still no deposit) - will auto-update","Day "&amp;CHOOSE(N($AB136)+1,1,2,3)&amp;" URGENT VIP check-in - help them finish KYC and lock in first deposit"),IF(AND($D136="",$E136&lt;&gt;"Dead Lead"),IF(N($T136)&gt;=3,"READY FOR DEAD LEAD (3 attempts, still no sign-up)","GET ROOBET SIGN-UP - "&amp;IFERROR(VLOOKUP($E136,Lists!$C$2:$E$20,2,FALSE),"")),IFERROR(VLOOKUP($E136,Lists!$C$2:$E$20,2,FALSE),""))))&amp;IF($AC136="Yes",IF(N($X136)&gt;=3," | VIP Team checkpoints complete - no more automatic check-ins"," | Day "&amp;CHOOSE(N($X136)+1,1,7,14)&amp;" VIP Team check-in - confirm active/depositing"),"")</f>
        <v/>
      </c>
      <c r="L136" s="11" t="n"/>
      <c r="M136" s="11" t="n"/>
      <c r="N136" s="15" t="n"/>
      <c r="O136" s="11">
        <f>IF($E136="","",IF(AND($E136="Active",$F136="Green"),"Yes","No"))</f>
        <v/>
      </c>
      <c r="P136" s="11" t="n"/>
      <c r="Q136">
        <f>IF($I136="","",ROUND(TODAY()-$I136,0))</f>
        <v/>
      </c>
      <c r="R136">
        <f>IF($B136="",0,IF(OR(AND(ISNUMBER($J136),$J136&lt;=TODAY(),$E136&lt;&gt;"Dead Lead"),AND($D136="",$E136&lt;&gt;"",$E136&lt;&gt;"Dead Lead",OR($I136="",$I136&lt;TODAY()))),1,0))</f>
        <v/>
      </c>
      <c r="S136">
        <f>IF($R136=1,SUMPRODUCT(($R$4:$R$203=1)*(($Q$4:$Q$203&gt;$Q136)+(($Q$4:$Q$203=$Q136)*(ROW($Q$4:$Q$203)&lt;ROW($Q136)))))+1,"")</f>
        <v/>
      </c>
      <c r="T136" s="11">
        <f>IF($B136="","",0)</f>
        <v/>
      </c>
      <c r="U136">
        <f>IF($B136="",0,IF($E136="Dead Lead",1,0))</f>
        <v/>
      </c>
      <c r="V136">
        <f>IF($U136=1,SUMPRODUCT(($U$4:$U$203=1)*(($J$4:$J$203&lt;$J136)+(($J$4:$J$203=$J136)*(ROW($J$4:$J$203)&lt;ROW($J136)))))+1,"")</f>
        <v/>
      </c>
      <c r="W136" s="12">
        <f>IF($B136="","","")</f>
        <v/>
      </c>
      <c r="X136" s="11">
        <f>IF($B136="","",0)</f>
        <v/>
      </c>
      <c r="Y136">
        <f>IF($B136="",0,IF(AND($R136=0,$E136&lt;&gt;"Dead Lead",ISNUMBER($J136),$J136&lt;=TODAY()+7),1,0))</f>
        <v/>
      </c>
      <c r="Z136">
        <f>IF($Y136=1,SUMPRODUCT(($Y$4:$Y$203=1)*(($J$4:$J$203&lt;$J136)+(($J$4:$J$203=$J136)*(ROW($J$4:$J$203)&lt;ROW($J136)))))+1,"")</f>
        <v/>
      </c>
      <c r="AA136" s="12">
        <f>IF($B136="","","")</f>
        <v/>
      </c>
      <c r="AB136" s="11">
        <f>IF($B136="","",0)</f>
        <v/>
      </c>
      <c r="AC136" s="11" t="n"/>
      <c r="AD136">
        <f>IF($E136="","",IF($E136="VIP Transferred",IF($AA136="","",IF(N($AB136)&gt;=3,"N/A - Closed",$AA136+CHOOSE(N($AB136)+1,1,2,3))),IF($I136="","",IF(VLOOKUP($E136,Lists!$C$2:$E$20,3,FALSE)="CLOSED","N/A - Closed",$I136+VLOOKUP($E136,Lists!$C$2:$E$20,3,FALSE)))))</f>
        <v/>
      </c>
      <c r="AE136">
        <f>IF(AND($AC136="Yes",$W136&lt;&gt;"",N($X136)&lt;3),$W136+CHOOSE(N($X136)+1,1,7,14),"")</f>
        <v/>
      </c>
      <c r="AF136" s="12">
        <f>IF($B136="","","")</f>
        <v/>
      </c>
    </row>
    <row r="137">
      <c r="A137" s="11">
        <f>IF($B137="","","YU-"&amp;TEXT(ROW()-3,"0000"))</f>
        <v/>
      </c>
      <c r="B137" s="11" t="n"/>
      <c r="C137" s="11" t="inlineStr">
        <is>
          <t>Discord</t>
        </is>
      </c>
      <c r="D137" s="11" t="n"/>
      <c r="E137" s="11" t="n"/>
      <c r="F137" s="11">
        <f>IF($E137="","",IF($E137="Dead Lead","Black",IF(IF(ISNUMBER($J137),TODAY()-$J137&gt;3,FALSE),"Red",IF($E137="Reactivation Queue","Red",IF(OR($E137="First Deposit",$E137="Active"),"Green","Yellow")))))</f>
        <v/>
      </c>
      <c r="G137" s="11">
        <f>IF($F137="","",IF($F137="Red",1,IF($F137="Yellow",2,IF($F137="Green",3,4))))</f>
        <v/>
      </c>
      <c r="H137" s="14" t="n"/>
      <c r="I137" s="14" t="n"/>
      <c r="J137" s="12">
        <f>IF($E137="","",IF(AND(ISNUMBER($AD137),ISNUMBER($AE137)),MIN($AD137,$AE137),IF(ISNUMBER($AE137),$AE137,$AD137)))</f>
        <v/>
      </c>
      <c r="K137" s="11">
        <f>IF($E137="","",IF($E137="VIP Transferred",IF(N($AB137)&gt;=3,"Should be Dead Lead (3 attempts, still no deposit) - will auto-update","Day "&amp;CHOOSE(N($AB137)+1,1,2,3)&amp;" URGENT VIP check-in - help them finish KYC and lock in first deposit"),IF(AND($D137="",$E137&lt;&gt;"Dead Lead"),IF(N($T137)&gt;=3,"READY FOR DEAD LEAD (3 attempts, still no sign-up)","GET ROOBET SIGN-UP - "&amp;IFERROR(VLOOKUP($E137,Lists!$C$2:$E$20,2,FALSE),"")),IFERROR(VLOOKUP($E137,Lists!$C$2:$E$20,2,FALSE),""))))&amp;IF($AC137="Yes",IF(N($X137)&gt;=3," | VIP Team checkpoints complete - no more automatic check-ins"," | Day "&amp;CHOOSE(N($X137)+1,1,7,14)&amp;" VIP Team check-in - confirm active/depositing"),"")</f>
        <v/>
      </c>
      <c r="L137" s="11" t="n"/>
      <c r="M137" s="11" t="n"/>
      <c r="N137" s="15" t="n"/>
      <c r="O137" s="11">
        <f>IF($E137="","",IF(AND($E137="Active",$F137="Green"),"Yes","No"))</f>
        <v/>
      </c>
      <c r="P137" s="11" t="n"/>
      <c r="Q137">
        <f>IF($I137="","",ROUND(TODAY()-$I137,0))</f>
        <v/>
      </c>
      <c r="R137">
        <f>IF($B137="",0,IF(OR(AND(ISNUMBER($J137),$J137&lt;=TODAY(),$E137&lt;&gt;"Dead Lead"),AND($D137="",$E137&lt;&gt;"",$E137&lt;&gt;"Dead Lead",OR($I137="",$I137&lt;TODAY()))),1,0))</f>
        <v/>
      </c>
      <c r="S137">
        <f>IF($R137=1,SUMPRODUCT(($R$4:$R$203=1)*(($Q$4:$Q$203&gt;$Q137)+(($Q$4:$Q$203=$Q137)*(ROW($Q$4:$Q$203)&lt;ROW($Q137)))))+1,"")</f>
        <v/>
      </c>
      <c r="T137" s="11">
        <f>IF($B137="","",0)</f>
        <v/>
      </c>
      <c r="U137">
        <f>IF($B137="",0,IF($E137="Dead Lead",1,0))</f>
        <v/>
      </c>
      <c r="V137">
        <f>IF($U137=1,SUMPRODUCT(($U$4:$U$203=1)*(($J$4:$J$203&lt;$J137)+(($J$4:$J$203=$J137)*(ROW($J$4:$J$203)&lt;ROW($J137)))))+1,"")</f>
        <v/>
      </c>
      <c r="W137" s="12">
        <f>IF($B137="","","")</f>
        <v/>
      </c>
      <c r="X137" s="11">
        <f>IF($B137="","",0)</f>
        <v/>
      </c>
      <c r="Y137">
        <f>IF($B137="",0,IF(AND($R137=0,$E137&lt;&gt;"Dead Lead",ISNUMBER($J137),$J137&lt;=TODAY()+7),1,0))</f>
        <v/>
      </c>
      <c r="Z137">
        <f>IF($Y137=1,SUMPRODUCT(($Y$4:$Y$203=1)*(($J$4:$J$203&lt;$J137)+(($J$4:$J$203=$J137)*(ROW($J$4:$J$203)&lt;ROW($J137)))))+1,"")</f>
        <v/>
      </c>
      <c r="AA137" s="12">
        <f>IF($B137="","","")</f>
        <v/>
      </c>
      <c r="AB137" s="11">
        <f>IF($B137="","",0)</f>
        <v/>
      </c>
      <c r="AC137" s="11" t="n"/>
      <c r="AD137">
        <f>IF($E137="","",IF($E137="VIP Transferred",IF($AA137="","",IF(N($AB137)&gt;=3,"N/A - Closed",$AA137+CHOOSE(N($AB137)+1,1,2,3))),IF($I137="","",IF(VLOOKUP($E137,Lists!$C$2:$E$20,3,FALSE)="CLOSED","N/A - Closed",$I137+VLOOKUP($E137,Lists!$C$2:$E$20,3,FALSE)))))</f>
        <v/>
      </c>
      <c r="AE137">
        <f>IF(AND($AC137="Yes",$W137&lt;&gt;"",N($X137)&lt;3),$W137+CHOOSE(N($X137)+1,1,7,14),"")</f>
        <v/>
      </c>
      <c r="AF137" s="12">
        <f>IF($B137="","","")</f>
        <v/>
      </c>
    </row>
    <row r="138">
      <c r="A138" s="11">
        <f>IF($B138="","","YU-"&amp;TEXT(ROW()-3,"0000"))</f>
        <v/>
      </c>
      <c r="B138" s="11" t="n"/>
      <c r="C138" s="11" t="inlineStr">
        <is>
          <t>Discord</t>
        </is>
      </c>
      <c r="D138" s="11" t="n"/>
      <c r="E138" s="11" t="n"/>
      <c r="F138" s="11">
        <f>IF($E138="","",IF($E138="Dead Lead","Black",IF(IF(ISNUMBER($J138),TODAY()-$J138&gt;3,FALSE),"Red",IF($E138="Reactivation Queue","Red",IF(OR($E138="First Deposit",$E138="Active"),"Green","Yellow")))))</f>
        <v/>
      </c>
      <c r="G138" s="11">
        <f>IF($F138="","",IF($F138="Red",1,IF($F138="Yellow",2,IF($F138="Green",3,4))))</f>
        <v/>
      </c>
      <c r="H138" s="14" t="n"/>
      <c r="I138" s="14" t="n"/>
      <c r="J138" s="12">
        <f>IF($E138="","",IF(AND(ISNUMBER($AD138),ISNUMBER($AE138)),MIN($AD138,$AE138),IF(ISNUMBER($AE138),$AE138,$AD138)))</f>
        <v/>
      </c>
      <c r="K138" s="11">
        <f>IF($E138="","",IF($E138="VIP Transferred",IF(N($AB138)&gt;=3,"Should be Dead Lead (3 attempts, still no deposit) - will auto-update","Day "&amp;CHOOSE(N($AB138)+1,1,2,3)&amp;" URGENT VIP check-in - help them finish KYC and lock in first deposit"),IF(AND($D138="",$E138&lt;&gt;"Dead Lead"),IF(N($T138)&gt;=3,"READY FOR DEAD LEAD (3 attempts, still no sign-up)","GET ROOBET SIGN-UP - "&amp;IFERROR(VLOOKUP($E138,Lists!$C$2:$E$20,2,FALSE),"")),IFERROR(VLOOKUP($E138,Lists!$C$2:$E$20,2,FALSE),""))))&amp;IF($AC138="Yes",IF(N($X138)&gt;=3," | VIP Team checkpoints complete - no more automatic check-ins"," | Day "&amp;CHOOSE(N($X138)+1,1,7,14)&amp;" VIP Team check-in - confirm active/depositing"),"")</f>
        <v/>
      </c>
      <c r="L138" s="11" t="n"/>
      <c r="M138" s="11" t="n"/>
      <c r="N138" s="15" t="n"/>
      <c r="O138" s="11">
        <f>IF($E138="","",IF(AND($E138="Active",$F138="Green"),"Yes","No"))</f>
        <v/>
      </c>
      <c r="P138" s="11" t="n"/>
      <c r="Q138">
        <f>IF($I138="","",ROUND(TODAY()-$I138,0))</f>
        <v/>
      </c>
      <c r="R138">
        <f>IF($B138="",0,IF(OR(AND(ISNUMBER($J138),$J138&lt;=TODAY(),$E138&lt;&gt;"Dead Lead"),AND($D138="",$E138&lt;&gt;"",$E138&lt;&gt;"Dead Lead",OR($I138="",$I138&lt;TODAY()))),1,0))</f>
        <v/>
      </c>
      <c r="S138">
        <f>IF($R138=1,SUMPRODUCT(($R$4:$R$203=1)*(($Q$4:$Q$203&gt;$Q138)+(($Q$4:$Q$203=$Q138)*(ROW($Q$4:$Q$203)&lt;ROW($Q138)))))+1,"")</f>
        <v/>
      </c>
      <c r="T138" s="11">
        <f>IF($B138="","",0)</f>
        <v/>
      </c>
      <c r="U138">
        <f>IF($B138="",0,IF($E138="Dead Lead",1,0))</f>
        <v/>
      </c>
      <c r="V138">
        <f>IF($U138=1,SUMPRODUCT(($U$4:$U$203=1)*(($J$4:$J$203&lt;$J138)+(($J$4:$J$203=$J138)*(ROW($J$4:$J$203)&lt;ROW($J138)))))+1,"")</f>
        <v/>
      </c>
      <c r="W138" s="12">
        <f>IF($B138="","","")</f>
        <v/>
      </c>
      <c r="X138" s="11">
        <f>IF($B138="","",0)</f>
        <v/>
      </c>
      <c r="Y138">
        <f>IF($B138="",0,IF(AND($R138=0,$E138&lt;&gt;"Dead Lead",ISNUMBER($J138),$J138&lt;=TODAY()+7),1,0))</f>
        <v/>
      </c>
      <c r="Z138">
        <f>IF($Y138=1,SUMPRODUCT(($Y$4:$Y$203=1)*(($J$4:$J$203&lt;$J138)+(($J$4:$J$203=$J138)*(ROW($J$4:$J$203)&lt;ROW($J138)))))+1,"")</f>
        <v/>
      </c>
      <c r="AA138" s="12">
        <f>IF($B138="","","")</f>
        <v/>
      </c>
      <c r="AB138" s="11">
        <f>IF($B138="","",0)</f>
        <v/>
      </c>
      <c r="AC138" s="11" t="n"/>
      <c r="AD138">
        <f>IF($E138="","",IF($E138="VIP Transferred",IF($AA138="","",IF(N($AB138)&gt;=3,"N/A - Closed",$AA138+CHOOSE(N($AB138)+1,1,2,3))),IF($I138="","",IF(VLOOKUP($E138,Lists!$C$2:$E$20,3,FALSE)="CLOSED","N/A - Closed",$I138+VLOOKUP($E138,Lists!$C$2:$E$20,3,FALSE)))))</f>
        <v/>
      </c>
      <c r="AE138">
        <f>IF(AND($AC138="Yes",$W138&lt;&gt;"",N($X138)&lt;3),$W138+CHOOSE(N($X138)+1,1,7,14),"")</f>
        <v/>
      </c>
      <c r="AF138" s="12">
        <f>IF($B138="","","")</f>
        <v/>
      </c>
    </row>
    <row r="139">
      <c r="A139" s="11">
        <f>IF($B139="","","YU-"&amp;TEXT(ROW()-3,"0000"))</f>
        <v/>
      </c>
      <c r="B139" s="11" t="n"/>
      <c r="C139" s="11" t="inlineStr">
        <is>
          <t>Discord</t>
        </is>
      </c>
      <c r="D139" s="11" t="n"/>
      <c r="E139" s="11" t="n"/>
      <c r="F139" s="11">
        <f>IF($E139="","",IF($E139="Dead Lead","Black",IF(IF(ISNUMBER($J139),TODAY()-$J139&gt;3,FALSE),"Red",IF($E139="Reactivation Queue","Red",IF(OR($E139="First Deposit",$E139="Active"),"Green","Yellow")))))</f>
        <v/>
      </c>
      <c r="G139" s="11">
        <f>IF($F139="","",IF($F139="Red",1,IF($F139="Yellow",2,IF($F139="Green",3,4))))</f>
        <v/>
      </c>
      <c r="H139" s="14" t="n"/>
      <c r="I139" s="14" t="n"/>
      <c r="J139" s="12">
        <f>IF($E139="","",IF(AND(ISNUMBER($AD139),ISNUMBER($AE139)),MIN($AD139,$AE139),IF(ISNUMBER($AE139),$AE139,$AD139)))</f>
        <v/>
      </c>
      <c r="K139" s="11">
        <f>IF($E139="","",IF($E139="VIP Transferred",IF(N($AB139)&gt;=3,"Should be Dead Lead (3 attempts, still no deposit) - will auto-update","Day "&amp;CHOOSE(N($AB139)+1,1,2,3)&amp;" URGENT VIP check-in - help them finish KYC and lock in first deposit"),IF(AND($D139="",$E139&lt;&gt;"Dead Lead"),IF(N($T139)&gt;=3,"READY FOR DEAD LEAD (3 attempts, still no sign-up)","GET ROOBET SIGN-UP - "&amp;IFERROR(VLOOKUP($E139,Lists!$C$2:$E$20,2,FALSE),"")),IFERROR(VLOOKUP($E139,Lists!$C$2:$E$20,2,FALSE),""))))&amp;IF($AC139="Yes",IF(N($X139)&gt;=3," | VIP Team checkpoints complete - no more automatic check-ins"," | Day "&amp;CHOOSE(N($X139)+1,1,7,14)&amp;" VIP Team check-in - confirm active/depositing"),"")</f>
        <v/>
      </c>
      <c r="L139" s="11" t="n"/>
      <c r="M139" s="11" t="n"/>
      <c r="N139" s="15" t="n"/>
      <c r="O139" s="11">
        <f>IF($E139="","",IF(AND($E139="Active",$F139="Green"),"Yes","No"))</f>
        <v/>
      </c>
      <c r="P139" s="11" t="n"/>
      <c r="Q139">
        <f>IF($I139="","",ROUND(TODAY()-$I139,0))</f>
        <v/>
      </c>
      <c r="R139">
        <f>IF($B139="",0,IF(OR(AND(ISNUMBER($J139),$J139&lt;=TODAY(),$E139&lt;&gt;"Dead Lead"),AND($D139="",$E139&lt;&gt;"",$E139&lt;&gt;"Dead Lead",OR($I139="",$I139&lt;TODAY()))),1,0))</f>
        <v/>
      </c>
      <c r="S139">
        <f>IF($R139=1,SUMPRODUCT(($R$4:$R$203=1)*(($Q$4:$Q$203&gt;$Q139)+(($Q$4:$Q$203=$Q139)*(ROW($Q$4:$Q$203)&lt;ROW($Q139)))))+1,"")</f>
        <v/>
      </c>
      <c r="T139" s="11">
        <f>IF($B139="","",0)</f>
        <v/>
      </c>
      <c r="U139">
        <f>IF($B139="",0,IF($E139="Dead Lead",1,0))</f>
        <v/>
      </c>
      <c r="V139">
        <f>IF($U139=1,SUMPRODUCT(($U$4:$U$203=1)*(($J$4:$J$203&lt;$J139)+(($J$4:$J$203=$J139)*(ROW($J$4:$J$203)&lt;ROW($J139)))))+1,"")</f>
        <v/>
      </c>
      <c r="W139" s="12">
        <f>IF($B139="","","")</f>
        <v/>
      </c>
      <c r="X139" s="11">
        <f>IF($B139="","",0)</f>
        <v/>
      </c>
      <c r="Y139">
        <f>IF($B139="",0,IF(AND($R139=0,$E139&lt;&gt;"Dead Lead",ISNUMBER($J139),$J139&lt;=TODAY()+7),1,0))</f>
        <v/>
      </c>
      <c r="Z139">
        <f>IF($Y139=1,SUMPRODUCT(($Y$4:$Y$203=1)*(($J$4:$J$203&lt;$J139)+(($J$4:$J$203=$J139)*(ROW($J$4:$J$203)&lt;ROW($J139)))))+1,"")</f>
        <v/>
      </c>
      <c r="AA139" s="12">
        <f>IF($B139="","","")</f>
        <v/>
      </c>
      <c r="AB139" s="11">
        <f>IF($B139="","",0)</f>
        <v/>
      </c>
      <c r="AC139" s="11" t="n"/>
      <c r="AD139">
        <f>IF($E139="","",IF($E139="VIP Transferred",IF($AA139="","",IF(N($AB139)&gt;=3,"N/A - Closed",$AA139+CHOOSE(N($AB139)+1,1,2,3))),IF($I139="","",IF(VLOOKUP($E139,Lists!$C$2:$E$20,3,FALSE)="CLOSED","N/A - Closed",$I139+VLOOKUP($E139,Lists!$C$2:$E$20,3,FALSE)))))</f>
        <v/>
      </c>
      <c r="AE139">
        <f>IF(AND($AC139="Yes",$W139&lt;&gt;"",N($X139)&lt;3),$W139+CHOOSE(N($X139)+1,1,7,14),"")</f>
        <v/>
      </c>
      <c r="AF139" s="12">
        <f>IF($B139="","","")</f>
        <v/>
      </c>
    </row>
    <row r="140">
      <c r="A140" s="11">
        <f>IF($B140="","","YU-"&amp;TEXT(ROW()-3,"0000"))</f>
        <v/>
      </c>
      <c r="B140" s="11" t="n"/>
      <c r="C140" s="11" t="inlineStr">
        <is>
          <t>Discord</t>
        </is>
      </c>
      <c r="D140" s="11" t="n"/>
      <c r="E140" s="11" t="n"/>
      <c r="F140" s="11">
        <f>IF($E140="","",IF($E140="Dead Lead","Black",IF(IF(ISNUMBER($J140),TODAY()-$J140&gt;3,FALSE),"Red",IF($E140="Reactivation Queue","Red",IF(OR($E140="First Deposit",$E140="Active"),"Green","Yellow")))))</f>
        <v/>
      </c>
      <c r="G140" s="11">
        <f>IF($F140="","",IF($F140="Red",1,IF($F140="Yellow",2,IF($F140="Green",3,4))))</f>
        <v/>
      </c>
      <c r="H140" s="14" t="n"/>
      <c r="I140" s="14" t="n"/>
      <c r="J140" s="12">
        <f>IF($E140="","",IF(AND(ISNUMBER($AD140),ISNUMBER($AE140)),MIN($AD140,$AE140),IF(ISNUMBER($AE140),$AE140,$AD140)))</f>
        <v/>
      </c>
      <c r="K140" s="11">
        <f>IF($E140="","",IF($E140="VIP Transferred",IF(N($AB140)&gt;=3,"Should be Dead Lead (3 attempts, still no deposit) - will auto-update","Day "&amp;CHOOSE(N($AB140)+1,1,2,3)&amp;" URGENT VIP check-in - help them finish KYC and lock in first deposit"),IF(AND($D140="",$E140&lt;&gt;"Dead Lead"),IF(N($T140)&gt;=3,"READY FOR DEAD LEAD (3 attempts, still no sign-up)","GET ROOBET SIGN-UP - "&amp;IFERROR(VLOOKUP($E140,Lists!$C$2:$E$20,2,FALSE),"")),IFERROR(VLOOKUP($E140,Lists!$C$2:$E$20,2,FALSE),""))))&amp;IF($AC140="Yes",IF(N($X140)&gt;=3," | VIP Team checkpoints complete - no more automatic check-ins"," | Day "&amp;CHOOSE(N($X140)+1,1,7,14)&amp;" VIP Team check-in - confirm active/depositing"),"")</f>
        <v/>
      </c>
      <c r="L140" s="11" t="n"/>
      <c r="M140" s="11" t="n"/>
      <c r="N140" s="15" t="n"/>
      <c r="O140" s="11">
        <f>IF($E140="","",IF(AND($E140="Active",$F140="Green"),"Yes","No"))</f>
        <v/>
      </c>
      <c r="P140" s="11" t="n"/>
      <c r="Q140">
        <f>IF($I140="","",ROUND(TODAY()-$I140,0))</f>
        <v/>
      </c>
      <c r="R140">
        <f>IF($B140="",0,IF(OR(AND(ISNUMBER($J140),$J140&lt;=TODAY(),$E140&lt;&gt;"Dead Lead"),AND($D140="",$E140&lt;&gt;"",$E140&lt;&gt;"Dead Lead",OR($I140="",$I140&lt;TODAY()))),1,0))</f>
        <v/>
      </c>
      <c r="S140">
        <f>IF($R140=1,SUMPRODUCT(($R$4:$R$203=1)*(($Q$4:$Q$203&gt;$Q140)+(($Q$4:$Q$203=$Q140)*(ROW($Q$4:$Q$203)&lt;ROW($Q140)))))+1,"")</f>
        <v/>
      </c>
      <c r="T140" s="11">
        <f>IF($B140="","",0)</f>
        <v/>
      </c>
      <c r="U140">
        <f>IF($B140="",0,IF($E140="Dead Lead",1,0))</f>
        <v/>
      </c>
      <c r="V140">
        <f>IF($U140=1,SUMPRODUCT(($U$4:$U$203=1)*(($J$4:$J$203&lt;$J140)+(($J$4:$J$203=$J140)*(ROW($J$4:$J$203)&lt;ROW($J140)))))+1,"")</f>
        <v/>
      </c>
      <c r="W140" s="12">
        <f>IF($B140="","","")</f>
        <v/>
      </c>
      <c r="X140" s="11">
        <f>IF($B140="","",0)</f>
        <v/>
      </c>
      <c r="Y140">
        <f>IF($B140="",0,IF(AND($R140=0,$E140&lt;&gt;"Dead Lead",ISNUMBER($J140),$J140&lt;=TODAY()+7),1,0))</f>
        <v/>
      </c>
      <c r="Z140">
        <f>IF($Y140=1,SUMPRODUCT(($Y$4:$Y$203=1)*(($J$4:$J$203&lt;$J140)+(($J$4:$J$203=$J140)*(ROW($J$4:$J$203)&lt;ROW($J140)))))+1,"")</f>
        <v/>
      </c>
      <c r="AA140" s="12">
        <f>IF($B140="","","")</f>
        <v/>
      </c>
      <c r="AB140" s="11">
        <f>IF($B140="","",0)</f>
        <v/>
      </c>
      <c r="AC140" s="11" t="n"/>
      <c r="AD140">
        <f>IF($E140="","",IF($E140="VIP Transferred",IF($AA140="","",IF(N($AB140)&gt;=3,"N/A - Closed",$AA140+CHOOSE(N($AB140)+1,1,2,3))),IF($I140="","",IF(VLOOKUP($E140,Lists!$C$2:$E$20,3,FALSE)="CLOSED","N/A - Closed",$I140+VLOOKUP($E140,Lists!$C$2:$E$20,3,FALSE)))))</f>
        <v/>
      </c>
      <c r="AE140">
        <f>IF(AND($AC140="Yes",$W140&lt;&gt;"",N($X140)&lt;3),$W140+CHOOSE(N($X140)+1,1,7,14),"")</f>
        <v/>
      </c>
      <c r="AF140" s="12">
        <f>IF($B140="","","")</f>
        <v/>
      </c>
    </row>
    <row r="141">
      <c r="A141" s="11">
        <f>IF($B141="","","YU-"&amp;TEXT(ROW()-3,"0000"))</f>
        <v/>
      </c>
      <c r="B141" s="11" t="n"/>
      <c r="C141" s="11" t="inlineStr">
        <is>
          <t>Discord</t>
        </is>
      </c>
      <c r="D141" s="11" t="n"/>
      <c r="E141" s="11" t="n"/>
      <c r="F141" s="11">
        <f>IF($E141="","",IF($E141="Dead Lead","Black",IF(IF(ISNUMBER($J141),TODAY()-$J141&gt;3,FALSE),"Red",IF($E141="Reactivation Queue","Red",IF(OR($E141="First Deposit",$E141="Active"),"Green","Yellow")))))</f>
        <v/>
      </c>
      <c r="G141" s="11">
        <f>IF($F141="","",IF($F141="Red",1,IF($F141="Yellow",2,IF($F141="Green",3,4))))</f>
        <v/>
      </c>
      <c r="H141" s="14" t="n"/>
      <c r="I141" s="14" t="n"/>
      <c r="J141" s="12">
        <f>IF($E141="","",IF(AND(ISNUMBER($AD141),ISNUMBER($AE141)),MIN($AD141,$AE141),IF(ISNUMBER($AE141),$AE141,$AD141)))</f>
        <v/>
      </c>
      <c r="K141" s="11">
        <f>IF($E141="","",IF($E141="VIP Transferred",IF(N($AB141)&gt;=3,"Should be Dead Lead (3 attempts, still no deposit) - will auto-update","Day "&amp;CHOOSE(N($AB141)+1,1,2,3)&amp;" URGENT VIP check-in - help them finish KYC and lock in first deposit"),IF(AND($D141="",$E141&lt;&gt;"Dead Lead"),IF(N($T141)&gt;=3,"READY FOR DEAD LEAD (3 attempts, still no sign-up)","GET ROOBET SIGN-UP - "&amp;IFERROR(VLOOKUP($E141,Lists!$C$2:$E$20,2,FALSE),"")),IFERROR(VLOOKUP($E141,Lists!$C$2:$E$20,2,FALSE),""))))&amp;IF($AC141="Yes",IF(N($X141)&gt;=3," | VIP Team checkpoints complete - no more automatic check-ins"," | Day "&amp;CHOOSE(N($X141)+1,1,7,14)&amp;" VIP Team check-in - confirm active/depositing"),"")</f>
        <v/>
      </c>
      <c r="L141" s="11" t="n"/>
      <c r="M141" s="11" t="n"/>
      <c r="N141" s="15" t="n"/>
      <c r="O141" s="11">
        <f>IF($E141="","",IF(AND($E141="Active",$F141="Green"),"Yes","No"))</f>
        <v/>
      </c>
      <c r="P141" s="11" t="n"/>
      <c r="Q141">
        <f>IF($I141="","",ROUND(TODAY()-$I141,0))</f>
        <v/>
      </c>
      <c r="R141">
        <f>IF($B141="",0,IF(OR(AND(ISNUMBER($J141),$J141&lt;=TODAY(),$E141&lt;&gt;"Dead Lead"),AND($D141="",$E141&lt;&gt;"",$E141&lt;&gt;"Dead Lead",OR($I141="",$I141&lt;TODAY()))),1,0))</f>
        <v/>
      </c>
      <c r="S141">
        <f>IF($R141=1,SUMPRODUCT(($R$4:$R$203=1)*(($Q$4:$Q$203&gt;$Q141)+(($Q$4:$Q$203=$Q141)*(ROW($Q$4:$Q$203)&lt;ROW($Q141)))))+1,"")</f>
        <v/>
      </c>
      <c r="T141" s="11">
        <f>IF($B141="","",0)</f>
        <v/>
      </c>
      <c r="U141">
        <f>IF($B141="",0,IF($E141="Dead Lead",1,0))</f>
        <v/>
      </c>
      <c r="V141">
        <f>IF($U141=1,SUMPRODUCT(($U$4:$U$203=1)*(($J$4:$J$203&lt;$J141)+(($J$4:$J$203=$J141)*(ROW($J$4:$J$203)&lt;ROW($J141)))))+1,"")</f>
        <v/>
      </c>
      <c r="W141" s="12">
        <f>IF($B141="","","")</f>
        <v/>
      </c>
      <c r="X141" s="11">
        <f>IF($B141="","",0)</f>
        <v/>
      </c>
      <c r="Y141">
        <f>IF($B141="",0,IF(AND($R141=0,$E141&lt;&gt;"Dead Lead",ISNUMBER($J141),$J141&lt;=TODAY()+7),1,0))</f>
        <v/>
      </c>
      <c r="Z141">
        <f>IF($Y141=1,SUMPRODUCT(($Y$4:$Y$203=1)*(($J$4:$J$203&lt;$J141)+(($J$4:$J$203=$J141)*(ROW($J$4:$J$203)&lt;ROW($J141)))))+1,"")</f>
        <v/>
      </c>
      <c r="AA141" s="12">
        <f>IF($B141="","","")</f>
        <v/>
      </c>
      <c r="AB141" s="11">
        <f>IF($B141="","",0)</f>
        <v/>
      </c>
      <c r="AC141" s="11" t="n"/>
      <c r="AD141">
        <f>IF($E141="","",IF($E141="VIP Transferred",IF($AA141="","",IF(N($AB141)&gt;=3,"N/A - Closed",$AA141+CHOOSE(N($AB141)+1,1,2,3))),IF($I141="","",IF(VLOOKUP($E141,Lists!$C$2:$E$20,3,FALSE)="CLOSED","N/A - Closed",$I141+VLOOKUP($E141,Lists!$C$2:$E$20,3,FALSE)))))</f>
        <v/>
      </c>
      <c r="AE141">
        <f>IF(AND($AC141="Yes",$W141&lt;&gt;"",N($X141)&lt;3),$W141+CHOOSE(N($X141)+1,1,7,14),"")</f>
        <v/>
      </c>
      <c r="AF141" s="12">
        <f>IF($B141="","","")</f>
        <v/>
      </c>
    </row>
    <row r="142">
      <c r="A142" s="11">
        <f>IF($B142="","","YU-"&amp;TEXT(ROW()-3,"0000"))</f>
        <v/>
      </c>
      <c r="B142" s="11" t="n"/>
      <c r="C142" s="11" t="inlineStr">
        <is>
          <t>Discord</t>
        </is>
      </c>
      <c r="D142" s="11" t="n"/>
      <c r="E142" s="11" t="n"/>
      <c r="F142" s="11">
        <f>IF($E142="","",IF($E142="Dead Lead","Black",IF(IF(ISNUMBER($J142),TODAY()-$J142&gt;3,FALSE),"Red",IF($E142="Reactivation Queue","Red",IF(OR($E142="First Deposit",$E142="Active"),"Green","Yellow")))))</f>
        <v/>
      </c>
      <c r="G142" s="11">
        <f>IF($F142="","",IF($F142="Red",1,IF($F142="Yellow",2,IF($F142="Green",3,4))))</f>
        <v/>
      </c>
      <c r="H142" s="14" t="n"/>
      <c r="I142" s="14" t="n"/>
      <c r="J142" s="12">
        <f>IF($E142="","",IF(AND(ISNUMBER($AD142),ISNUMBER($AE142)),MIN($AD142,$AE142),IF(ISNUMBER($AE142),$AE142,$AD142)))</f>
        <v/>
      </c>
      <c r="K142" s="11">
        <f>IF($E142="","",IF($E142="VIP Transferred",IF(N($AB142)&gt;=3,"Should be Dead Lead (3 attempts, still no deposit) - will auto-update","Day "&amp;CHOOSE(N($AB142)+1,1,2,3)&amp;" URGENT VIP check-in - help them finish KYC and lock in first deposit"),IF(AND($D142="",$E142&lt;&gt;"Dead Lead"),IF(N($T142)&gt;=3,"READY FOR DEAD LEAD (3 attempts, still no sign-up)","GET ROOBET SIGN-UP - "&amp;IFERROR(VLOOKUP($E142,Lists!$C$2:$E$20,2,FALSE),"")),IFERROR(VLOOKUP($E142,Lists!$C$2:$E$20,2,FALSE),""))))&amp;IF($AC142="Yes",IF(N($X142)&gt;=3," | VIP Team checkpoints complete - no more automatic check-ins"," | Day "&amp;CHOOSE(N($X142)+1,1,7,14)&amp;" VIP Team check-in - confirm active/depositing"),"")</f>
        <v/>
      </c>
      <c r="L142" s="11" t="n"/>
      <c r="M142" s="11" t="n"/>
      <c r="N142" s="15" t="n"/>
      <c r="O142" s="11">
        <f>IF($E142="","",IF(AND($E142="Active",$F142="Green"),"Yes","No"))</f>
        <v/>
      </c>
      <c r="P142" s="11" t="n"/>
      <c r="Q142">
        <f>IF($I142="","",ROUND(TODAY()-$I142,0))</f>
        <v/>
      </c>
      <c r="R142">
        <f>IF($B142="",0,IF(OR(AND(ISNUMBER($J142),$J142&lt;=TODAY(),$E142&lt;&gt;"Dead Lead"),AND($D142="",$E142&lt;&gt;"",$E142&lt;&gt;"Dead Lead",OR($I142="",$I142&lt;TODAY()))),1,0))</f>
        <v/>
      </c>
      <c r="S142">
        <f>IF($R142=1,SUMPRODUCT(($R$4:$R$203=1)*(($Q$4:$Q$203&gt;$Q142)+(($Q$4:$Q$203=$Q142)*(ROW($Q$4:$Q$203)&lt;ROW($Q142)))))+1,"")</f>
        <v/>
      </c>
      <c r="T142" s="11">
        <f>IF($B142="","",0)</f>
        <v/>
      </c>
      <c r="U142">
        <f>IF($B142="",0,IF($E142="Dead Lead",1,0))</f>
        <v/>
      </c>
      <c r="V142">
        <f>IF($U142=1,SUMPRODUCT(($U$4:$U$203=1)*(($J$4:$J$203&lt;$J142)+(($J$4:$J$203=$J142)*(ROW($J$4:$J$203)&lt;ROW($J142)))))+1,"")</f>
        <v/>
      </c>
      <c r="W142" s="12">
        <f>IF($B142="","","")</f>
        <v/>
      </c>
      <c r="X142" s="11">
        <f>IF($B142="","",0)</f>
        <v/>
      </c>
      <c r="Y142">
        <f>IF($B142="",0,IF(AND($R142=0,$E142&lt;&gt;"Dead Lead",ISNUMBER($J142),$J142&lt;=TODAY()+7),1,0))</f>
        <v/>
      </c>
      <c r="Z142">
        <f>IF($Y142=1,SUMPRODUCT(($Y$4:$Y$203=1)*(($J$4:$J$203&lt;$J142)+(($J$4:$J$203=$J142)*(ROW($J$4:$J$203)&lt;ROW($J142)))))+1,"")</f>
        <v/>
      </c>
      <c r="AA142" s="12">
        <f>IF($B142="","","")</f>
        <v/>
      </c>
      <c r="AB142" s="11">
        <f>IF($B142="","",0)</f>
        <v/>
      </c>
      <c r="AC142" s="11" t="n"/>
      <c r="AD142">
        <f>IF($E142="","",IF($E142="VIP Transferred",IF($AA142="","",IF(N($AB142)&gt;=3,"N/A - Closed",$AA142+CHOOSE(N($AB142)+1,1,2,3))),IF($I142="","",IF(VLOOKUP($E142,Lists!$C$2:$E$20,3,FALSE)="CLOSED","N/A - Closed",$I142+VLOOKUP($E142,Lists!$C$2:$E$20,3,FALSE)))))</f>
        <v/>
      </c>
      <c r="AE142">
        <f>IF(AND($AC142="Yes",$W142&lt;&gt;"",N($X142)&lt;3),$W142+CHOOSE(N($X142)+1,1,7,14),"")</f>
        <v/>
      </c>
      <c r="AF142" s="12">
        <f>IF($B142="","","")</f>
        <v/>
      </c>
    </row>
    <row r="143">
      <c r="A143" s="11">
        <f>IF($B143="","","YU-"&amp;TEXT(ROW()-3,"0000"))</f>
        <v/>
      </c>
      <c r="B143" s="11" t="n"/>
      <c r="C143" s="11" t="inlineStr">
        <is>
          <t>Discord</t>
        </is>
      </c>
      <c r="D143" s="11" t="n"/>
      <c r="E143" s="11" t="n"/>
      <c r="F143" s="11">
        <f>IF($E143="","",IF($E143="Dead Lead","Black",IF(IF(ISNUMBER($J143),TODAY()-$J143&gt;3,FALSE),"Red",IF($E143="Reactivation Queue","Red",IF(OR($E143="First Deposit",$E143="Active"),"Green","Yellow")))))</f>
        <v/>
      </c>
      <c r="G143" s="11">
        <f>IF($F143="","",IF($F143="Red",1,IF($F143="Yellow",2,IF($F143="Green",3,4))))</f>
        <v/>
      </c>
      <c r="H143" s="14" t="n"/>
      <c r="I143" s="14" t="n"/>
      <c r="J143" s="12">
        <f>IF($E143="","",IF(AND(ISNUMBER($AD143),ISNUMBER($AE143)),MIN($AD143,$AE143),IF(ISNUMBER($AE143),$AE143,$AD143)))</f>
        <v/>
      </c>
      <c r="K143" s="11">
        <f>IF($E143="","",IF($E143="VIP Transferred",IF(N($AB143)&gt;=3,"Should be Dead Lead (3 attempts, still no deposit) - will auto-update","Day "&amp;CHOOSE(N($AB143)+1,1,2,3)&amp;" URGENT VIP check-in - help them finish KYC and lock in first deposit"),IF(AND($D143="",$E143&lt;&gt;"Dead Lead"),IF(N($T143)&gt;=3,"READY FOR DEAD LEAD (3 attempts, still no sign-up)","GET ROOBET SIGN-UP - "&amp;IFERROR(VLOOKUP($E143,Lists!$C$2:$E$20,2,FALSE),"")),IFERROR(VLOOKUP($E143,Lists!$C$2:$E$20,2,FALSE),""))))&amp;IF($AC143="Yes",IF(N($X143)&gt;=3," | VIP Team checkpoints complete - no more automatic check-ins"," | Day "&amp;CHOOSE(N($X143)+1,1,7,14)&amp;" VIP Team check-in - confirm active/depositing"),"")</f>
        <v/>
      </c>
      <c r="L143" s="11" t="n"/>
      <c r="M143" s="11" t="n"/>
      <c r="N143" s="15" t="n"/>
      <c r="O143" s="11">
        <f>IF($E143="","",IF(AND($E143="Active",$F143="Green"),"Yes","No"))</f>
        <v/>
      </c>
      <c r="P143" s="11" t="n"/>
      <c r="Q143">
        <f>IF($I143="","",ROUND(TODAY()-$I143,0))</f>
        <v/>
      </c>
      <c r="R143">
        <f>IF($B143="",0,IF(OR(AND(ISNUMBER($J143),$J143&lt;=TODAY(),$E143&lt;&gt;"Dead Lead"),AND($D143="",$E143&lt;&gt;"",$E143&lt;&gt;"Dead Lead",OR($I143="",$I143&lt;TODAY()))),1,0))</f>
        <v/>
      </c>
      <c r="S143">
        <f>IF($R143=1,SUMPRODUCT(($R$4:$R$203=1)*(($Q$4:$Q$203&gt;$Q143)+(($Q$4:$Q$203=$Q143)*(ROW($Q$4:$Q$203)&lt;ROW($Q143)))))+1,"")</f>
        <v/>
      </c>
      <c r="T143" s="11">
        <f>IF($B143="","",0)</f>
        <v/>
      </c>
      <c r="U143">
        <f>IF($B143="",0,IF($E143="Dead Lead",1,0))</f>
        <v/>
      </c>
      <c r="V143">
        <f>IF($U143=1,SUMPRODUCT(($U$4:$U$203=1)*(($J$4:$J$203&lt;$J143)+(($J$4:$J$203=$J143)*(ROW($J$4:$J$203)&lt;ROW($J143)))))+1,"")</f>
        <v/>
      </c>
      <c r="W143" s="12">
        <f>IF($B143="","","")</f>
        <v/>
      </c>
      <c r="X143" s="11">
        <f>IF($B143="","",0)</f>
        <v/>
      </c>
      <c r="Y143">
        <f>IF($B143="",0,IF(AND($R143=0,$E143&lt;&gt;"Dead Lead",ISNUMBER($J143),$J143&lt;=TODAY()+7),1,0))</f>
        <v/>
      </c>
      <c r="Z143">
        <f>IF($Y143=1,SUMPRODUCT(($Y$4:$Y$203=1)*(($J$4:$J$203&lt;$J143)+(($J$4:$J$203=$J143)*(ROW($J$4:$J$203)&lt;ROW($J143)))))+1,"")</f>
        <v/>
      </c>
      <c r="AA143" s="12">
        <f>IF($B143="","","")</f>
        <v/>
      </c>
      <c r="AB143" s="11">
        <f>IF($B143="","",0)</f>
        <v/>
      </c>
      <c r="AC143" s="11" t="n"/>
      <c r="AD143">
        <f>IF($E143="","",IF($E143="VIP Transferred",IF($AA143="","",IF(N($AB143)&gt;=3,"N/A - Closed",$AA143+CHOOSE(N($AB143)+1,1,2,3))),IF($I143="","",IF(VLOOKUP($E143,Lists!$C$2:$E$20,3,FALSE)="CLOSED","N/A - Closed",$I143+VLOOKUP($E143,Lists!$C$2:$E$20,3,FALSE)))))</f>
        <v/>
      </c>
      <c r="AE143">
        <f>IF(AND($AC143="Yes",$W143&lt;&gt;"",N($X143)&lt;3),$W143+CHOOSE(N($X143)+1,1,7,14),"")</f>
        <v/>
      </c>
      <c r="AF143" s="12">
        <f>IF($B143="","","")</f>
        <v/>
      </c>
    </row>
    <row r="144">
      <c r="A144" s="11">
        <f>IF($B144="","","YU-"&amp;TEXT(ROW()-3,"0000"))</f>
        <v/>
      </c>
      <c r="B144" s="11" t="n"/>
      <c r="C144" s="11" t="inlineStr">
        <is>
          <t>Discord</t>
        </is>
      </c>
      <c r="D144" s="11" t="n"/>
      <c r="E144" s="11" t="n"/>
      <c r="F144" s="11">
        <f>IF($E144="","",IF($E144="Dead Lead","Black",IF(IF(ISNUMBER($J144),TODAY()-$J144&gt;3,FALSE),"Red",IF($E144="Reactivation Queue","Red",IF(OR($E144="First Deposit",$E144="Active"),"Green","Yellow")))))</f>
        <v/>
      </c>
      <c r="G144" s="11">
        <f>IF($F144="","",IF($F144="Red",1,IF($F144="Yellow",2,IF($F144="Green",3,4))))</f>
        <v/>
      </c>
      <c r="H144" s="14" t="n"/>
      <c r="I144" s="14" t="n"/>
      <c r="J144" s="12">
        <f>IF($E144="","",IF(AND(ISNUMBER($AD144),ISNUMBER($AE144)),MIN($AD144,$AE144),IF(ISNUMBER($AE144),$AE144,$AD144)))</f>
        <v/>
      </c>
      <c r="K144" s="11">
        <f>IF($E144="","",IF($E144="VIP Transferred",IF(N($AB144)&gt;=3,"Should be Dead Lead (3 attempts, still no deposit) - will auto-update","Day "&amp;CHOOSE(N($AB144)+1,1,2,3)&amp;" URGENT VIP check-in - help them finish KYC and lock in first deposit"),IF(AND($D144="",$E144&lt;&gt;"Dead Lead"),IF(N($T144)&gt;=3,"READY FOR DEAD LEAD (3 attempts, still no sign-up)","GET ROOBET SIGN-UP - "&amp;IFERROR(VLOOKUP($E144,Lists!$C$2:$E$20,2,FALSE),"")),IFERROR(VLOOKUP($E144,Lists!$C$2:$E$20,2,FALSE),""))))&amp;IF($AC144="Yes",IF(N($X144)&gt;=3," | VIP Team checkpoints complete - no more automatic check-ins"," | Day "&amp;CHOOSE(N($X144)+1,1,7,14)&amp;" VIP Team check-in - confirm active/depositing"),"")</f>
        <v/>
      </c>
      <c r="L144" s="11" t="n"/>
      <c r="M144" s="11" t="n"/>
      <c r="N144" s="15" t="n"/>
      <c r="O144" s="11">
        <f>IF($E144="","",IF(AND($E144="Active",$F144="Green"),"Yes","No"))</f>
        <v/>
      </c>
      <c r="P144" s="11" t="n"/>
      <c r="Q144">
        <f>IF($I144="","",ROUND(TODAY()-$I144,0))</f>
        <v/>
      </c>
      <c r="R144">
        <f>IF($B144="",0,IF(OR(AND(ISNUMBER($J144),$J144&lt;=TODAY(),$E144&lt;&gt;"Dead Lead"),AND($D144="",$E144&lt;&gt;"",$E144&lt;&gt;"Dead Lead",OR($I144="",$I144&lt;TODAY()))),1,0))</f>
        <v/>
      </c>
      <c r="S144">
        <f>IF($R144=1,SUMPRODUCT(($R$4:$R$203=1)*(($Q$4:$Q$203&gt;$Q144)+(($Q$4:$Q$203=$Q144)*(ROW($Q$4:$Q$203)&lt;ROW($Q144)))))+1,"")</f>
        <v/>
      </c>
      <c r="T144" s="11">
        <f>IF($B144="","",0)</f>
        <v/>
      </c>
      <c r="U144">
        <f>IF($B144="",0,IF($E144="Dead Lead",1,0))</f>
        <v/>
      </c>
      <c r="V144">
        <f>IF($U144=1,SUMPRODUCT(($U$4:$U$203=1)*(($J$4:$J$203&lt;$J144)+(($J$4:$J$203=$J144)*(ROW($J$4:$J$203)&lt;ROW($J144)))))+1,"")</f>
        <v/>
      </c>
      <c r="W144" s="12">
        <f>IF($B144="","","")</f>
        <v/>
      </c>
      <c r="X144" s="11">
        <f>IF($B144="","",0)</f>
        <v/>
      </c>
      <c r="Y144">
        <f>IF($B144="",0,IF(AND($R144=0,$E144&lt;&gt;"Dead Lead",ISNUMBER($J144),$J144&lt;=TODAY()+7),1,0))</f>
        <v/>
      </c>
      <c r="Z144">
        <f>IF($Y144=1,SUMPRODUCT(($Y$4:$Y$203=1)*(($J$4:$J$203&lt;$J144)+(($J$4:$J$203=$J144)*(ROW($J$4:$J$203)&lt;ROW($J144)))))+1,"")</f>
        <v/>
      </c>
      <c r="AA144" s="12">
        <f>IF($B144="","","")</f>
        <v/>
      </c>
      <c r="AB144" s="11">
        <f>IF($B144="","",0)</f>
        <v/>
      </c>
      <c r="AC144" s="11" t="n"/>
      <c r="AD144">
        <f>IF($E144="","",IF($E144="VIP Transferred",IF($AA144="","",IF(N($AB144)&gt;=3,"N/A - Closed",$AA144+CHOOSE(N($AB144)+1,1,2,3))),IF($I144="","",IF(VLOOKUP($E144,Lists!$C$2:$E$20,3,FALSE)="CLOSED","N/A - Closed",$I144+VLOOKUP($E144,Lists!$C$2:$E$20,3,FALSE)))))</f>
        <v/>
      </c>
      <c r="AE144">
        <f>IF(AND($AC144="Yes",$W144&lt;&gt;"",N($X144)&lt;3),$W144+CHOOSE(N($X144)+1,1,7,14),"")</f>
        <v/>
      </c>
      <c r="AF144" s="12">
        <f>IF($B144="","","")</f>
        <v/>
      </c>
    </row>
    <row r="145">
      <c r="A145" s="11">
        <f>IF($B145="","","YU-"&amp;TEXT(ROW()-3,"0000"))</f>
        <v/>
      </c>
      <c r="B145" s="11" t="n"/>
      <c r="C145" s="11" t="inlineStr">
        <is>
          <t>Discord</t>
        </is>
      </c>
      <c r="D145" s="11" t="n"/>
      <c r="E145" s="11" t="n"/>
      <c r="F145" s="11">
        <f>IF($E145="","",IF($E145="Dead Lead","Black",IF(IF(ISNUMBER($J145),TODAY()-$J145&gt;3,FALSE),"Red",IF($E145="Reactivation Queue","Red",IF(OR($E145="First Deposit",$E145="Active"),"Green","Yellow")))))</f>
        <v/>
      </c>
      <c r="G145" s="11">
        <f>IF($F145="","",IF($F145="Red",1,IF($F145="Yellow",2,IF($F145="Green",3,4))))</f>
        <v/>
      </c>
      <c r="H145" s="14" t="n"/>
      <c r="I145" s="14" t="n"/>
      <c r="J145" s="12">
        <f>IF($E145="","",IF(AND(ISNUMBER($AD145),ISNUMBER($AE145)),MIN($AD145,$AE145),IF(ISNUMBER($AE145),$AE145,$AD145)))</f>
        <v/>
      </c>
      <c r="K145" s="11">
        <f>IF($E145="","",IF($E145="VIP Transferred",IF(N($AB145)&gt;=3,"Should be Dead Lead (3 attempts, still no deposit) - will auto-update","Day "&amp;CHOOSE(N($AB145)+1,1,2,3)&amp;" URGENT VIP check-in - help them finish KYC and lock in first deposit"),IF(AND($D145="",$E145&lt;&gt;"Dead Lead"),IF(N($T145)&gt;=3,"READY FOR DEAD LEAD (3 attempts, still no sign-up)","GET ROOBET SIGN-UP - "&amp;IFERROR(VLOOKUP($E145,Lists!$C$2:$E$20,2,FALSE),"")),IFERROR(VLOOKUP($E145,Lists!$C$2:$E$20,2,FALSE),""))))&amp;IF($AC145="Yes",IF(N($X145)&gt;=3," | VIP Team checkpoints complete - no more automatic check-ins"," | Day "&amp;CHOOSE(N($X145)+1,1,7,14)&amp;" VIP Team check-in - confirm active/depositing"),"")</f>
        <v/>
      </c>
      <c r="L145" s="11" t="n"/>
      <c r="M145" s="11" t="n"/>
      <c r="N145" s="15" t="n"/>
      <c r="O145" s="11">
        <f>IF($E145="","",IF(AND($E145="Active",$F145="Green"),"Yes","No"))</f>
        <v/>
      </c>
      <c r="P145" s="11" t="n"/>
      <c r="Q145">
        <f>IF($I145="","",ROUND(TODAY()-$I145,0))</f>
        <v/>
      </c>
      <c r="R145">
        <f>IF($B145="",0,IF(OR(AND(ISNUMBER($J145),$J145&lt;=TODAY(),$E145&lt;&gt;"Dead Lead"),AND($D145="",$E145&lt;&gt;"",$E145&lt;&gt;"Dead Lead",OR($I145="",$I145&lt;TODAY()))),1,0))</f>
        <v/>
      </c>
      <c r="S145">
        <f>IF($R145=1,SUMPRODUCT(($R$4:$R$203=1)*(($Q$4:$Q$203&gt;$Q145)+(($Q$4:$Q$203=$Q145)*(ROW($Q$4:$Q$203)&lt;ROW($Q145)))))+1,"")</f>
        <v/>
      </c>
      <c r="T145" s="11">
        <f>IF($B145="","",0)</f>
        <v/>
      </c>
      <c r="U145">
        <f>IF($B145="",0,IF($E145="Dead Lead",1,0))</f>
        <v/>
      </c>
      <c r="V145">
        <f>IF($U145=1,SUMPRODUCT(($U$4:$U$203=1)*(($J$4:$J$203&lt;$J145)+(($J$4:$J$203=$J145)*(ROW($J$4:$J$203)&lt;ROW($J145)))))+1,"")</f>
        <v/>
      </c>
      <c r="W145" s="12">
        <f>IF($B145="","","")</f>
        <v/>
      </c>
      <c r="X145" s="11">
        <f>IF($B145="","",0)</f>
        <v/>
      </c>
      <c r="Y145">
        <f>IF($B145="",0,IF(AND($R145=0,$E145&lt;&gt;"Dead Lead",ISNUMBER($J145),$J145&lt;=TODAY()+7),1,0))</f>
        <v/>
      </c>
      <c r="Z145">
        <f>IF($Y145=1,SUMPRODUCT(($Y$4:$Y$203=1)*(($J$4:$J$203&lt;$J145)+(($J$4:$J$203=$J145)*(ROW($J$4:$J$203)&lt;ROW($J145)))))+1,"")</f>
        <v/>
      </c>
      <c r="AA145" s="12">
        <f>IF($B145="","","")</f>
        <v/>
      </c>
      <c r="AB145" s="11">
        <f>IF($B145="","",0)</f>
        <v/>
      </c>
      <c r="AC145" s="11" t="n"/>
      <c r="AD145">
        <f>IF($E145="","",IF($E145="VIP Transferred",IF($AA145="","",IF(N($AB145)&gt;=3,"N/A - Closed",$AA145+CHOOSE(N($AB145)+1,1,2,3))),IF($I145="","",IF(VLOOKUP($E145,Lists!$C$2:$E$20,3,FALSE)="CLOSED","N/A - Closed",$I145+VLOOKUP($E145,Lists!$C$2:$E$20,3,FALSE)))))</f>
        <v/>
      </c>
      <c r="AE145">
        <f>IF(AND($AC145="Yes",$W145&lt;&gt;"",N($X145)&lt;3),$W145+CHOOSE(N($X145)+1,1,7,14),"")</f>
        <v/>
      </c>
      <c r="AF145" s="12">
        <f>IF($B145="","","")</f>
        <v/>
      </c>
    </row>
    <row r="146">
      <c r="A146" s="11">
        <f>IF($B146="","","YU-"&amp;TEXT(ROW()-3,"0000"))</f>
        <v/>
      </c>
      <c r="B146" s="11" t="n"/>
      <c r="C146" s="11" t="inlineStr">
        <is>
          <t>Discord</t>
        </is>
      </c>
      <c r="D146" s="11" t="n"/>
      <c r="E146" s="11" t="n"/>
      <c r="F146" s="11">
        <f>IF($E146="","",IF($E146="Dead Lead","Black",IF(IF(ISNUMBER($J146),TODAY()-$J146&gt;3,FALSE),"Red",IF($E146="Reactivation Queue","Red",IF(OR($E146="First Deposit",$E146="Active"),"Green","Yellow")))))</f>
        <v/>
      </c>
      <c r="G146" s="11">
        <f>IF($F146="","",IF($F146="Red",1,IF($F146="Yellow",2,IF($F146="Green",3,4))))</f>
        <v/>
      </c>
      <c r="H146" s="14" t="n"/>
      <c r="I146" s="14" t="n"/>
      <c r="J146" s="12">
        <f>IF($E146="","",IF(AND(ISNUMBER($AD146),ISNUMBER($AE146)),MIN($AD146,$AE146),IF(ISNUMBER($AE146),$AE146,$AD146)))</f>
        <v/>
      </c>
      <c r="K146" s="11">
        <f>IF($E146="","",IF($E146="VIP Transferred",IF(N($AB146)&gt;=3,"Should be Dead Lead (3 attempts, still no deposit) - will auto-update","Day "&amp;CHOOSE(N($AB146)+1,1,2,3)&amp;" URGENT VIP check-in - help them finish KYC and lock in first deposit"),IF(AND($D146="",$E146&lt;&gt;"Dead Lead"),IF(N($T146)&gt;=3,"READY FOR DEAD LEAD (3 attempts, still no sign-up)","GET ROOBET SIGN-UP - "&amp;IFERROR(VLOOKUP($E146,Lists!$C$2:$E$20,2,FALSE),"")),IFERROR(VLOOKUP($E146,Lists!$C$2:$E$20,2,FALSE),""))))&amp;IF($AC146="Yes",IF(N($X146)&gt;=3," | VIP Team checkpoints complete - no more automatic check-ins"," | Day "&amp;CHOOSE(N($X146)+1,1,7,14)&amp;" VIP Team check-in - confirm active/depositing"),"")</f>
        <v/>
      </c>
      <c r="L146" s="11" t="n"/>
      <c r="M146" s="11" t="n"/>
      <c r="N146" s="15" t="n"/>
      <c r="O146" s="11">
        <f>IF($E146="","",IF(AND($E146="Active",$F146="Green"),"Yes","No"))</f>
        <v/>
      </c>
      <c r="P146" s="11" t="n"/>
      <c r="Q146">
        <f>IF($I146="","",ROUND(TODAY()-$I146,0))</f>
        <v/>
      </c>
      <c r="R146">
        <f>IF($B146="",0,IF(OR(AND(ISNUMBER($J146),$J146&lt;=TODAY(),$E146&lt;&gt;"Dead Lead"),AND($D146="",$E146&lt;&gt;"",$E146&lt;&gt;"Dead Lead",OR($I146="",$I146&lt;TODAY()))),1,0))</f>
        <v/>
      </c>
      <c r="S146">
        <f>IF($R146=1,SUMPRODUCT(($R$4:$R$203=1)*(($Q$4:$Q$203&gt;$Q146)+(($Q$4:$Q$203=$Q146)*(ROW($Q$4:$Q$203)&lt;ROW($Q146)))))+1,"")</f>
        <v/>
      </c>
      <c r="T146" s="11">
        <f>IF($B146="","",0)</f>
        <v/>
      </c>
      <c r="U146">
        <f>IF($B146="",0,IF($E146="Dead Lead",1,0))</f>
        <v/>
      </c>
      <c r="V146">
        <f>IF($U146=1,SUMPRODUCT(($U$4:$U$203=1)*(($J$4:$J$203&lt;$J146)+(($J$4:$J$203=$J146)*(ROW($J$4:$J$203)&lt;ROW($J146)))))+1,"")</f>
        <v/>
      </c>
      <c r="W146" s="12">
        <f>IF($B146="","","")</f>
        <v/>
      </c>
      <c r="X146" s="11">
        <f>IF($B146="","",0)</f>
        <v/>
      </c>
      <c r="Y146">
        <f>IF($B146="",0,IF(AND($R146=0,$E146&lt;&gt;"Dead Lead",ISNUMBER($J146),$J146&lt;=TODAY()+7),1,0))</f>
        <v/>
      </c>
      <c r="Z146">
        <f>IF($Y146=1,SUMPRODUCT(($Y$4:$Y$203=1)*(($J$4:$J$203&lt;$J146)+(($J$4:$J$203=$J146)*(ROW($J$4:$J$203)&lt;ROW($J146)))))+1,"")</f>
        <v/>
      </c>
      <c r="AA146" s="12">
        <f>IF($B146="","","")</f>
        <v/>
      </c>
      <c r="AB146" s="11">
        <f>IF($B146="","",0)</f>
        <v/>
      </c>
      <c r="AC146" s="11" t="n"/>
      <c r="AD146">
        <f>IF($E146="","",IF($E146="VIP Transferred",IF($AA146="","",IF(N($AB146)&gt;=3,"N/A - Closed",$AA146+CHOOSE(N($AB146)+1,1,2,3))),IF($I146="","",IF(VLOOKUP($E146,Lists!$C$2:$E$20,3,FALSE)="CLOSED","N/A - Closed",$I146+VLOOKUP($E146,Lists!$C$2:$E$20,3,FALSE)))))</f>
        <v/>
      </c>
      <c r="AE146">
        <f>IF(AND($AC146="Yes",$W146&lt;&gt;"",N($X146)&lt;3),$W146+CHOOSE(N($X146)+1,1,7,14),"")</f>
        <v/>
      </c>
      <c r="AF146" s="12">
        <f>IF($B146="","","")</f>
        <v/>
      </c>
    </row>
    <row r="147">
      <c r="A147" s="11">
        <f>IF($B147="","","YU-"&amp;TEXT(ROW()-3,"0000"))</f>
        <v/>
      </c>
      <c r="B147" s="11" t="n"/>
      <c r="C147" s="11" t="inlineStr">
        <is>
          <t>Discord</t>
        </is>
      </c>
      <c r="D147" s="11" t="n"/>
      <c r="E147" s="11" t="n"/>
      <c r="F147" s="11">
        <f>IF($E147="","",IF($E147="Dead Lead","Black",IF(IF(ISNUMBER($J147),TODAY()-$J147&gt;3,FALSE),"Red",IF($E147="Reactivation Queue","Red",IF(OR($E147="First Deposit",$E147="Active"),"Green","Yellow")))))</f>
        <v/>
      </c>
      <c r="G147" s="11">
        <f>IF($F147="","",IF($F147="Red",1,IF($F147="Yellow",2,IF($F147="Green",3,4))))</f>
        <v/>
      </c>
      <c r="H147" s="14" t="n"/>
      <c r="I147" s="14" t="n"/>
      <c r="J147" s="12">
        <f>IF($E147="","",IF(AND(ISNUMBER($AD147),ISNUMBER($AE147)),MIN($AD147,$AE147),IF(ISNUMBER($AE147),$AE147,$AD147)))</f>
        <v/>
      </c>
      <c r="K147" s="11">
        <f>IF($E147="","",IF($E147="VIP Transferred",IF(N($AB147)&gt;=3,"Should be Dead Lead (3 attempts, still no deposit) - will auto-update","Day "&amp;CHOOSE(N($AB147)+1,1,2,3)&amp;" URGENT VIP check-in - help them finish KYC and lock in first deposit"),IF(AND($D147="",$E147&lt;&gt;"Dead Lead"),IF(N($T147)&gt;=3,"READY FOR DEAD LEAD (3 attempts, still no sign-up)","GET ROOBET SIGN-UP - "&amp;IFERROR(VLOOKUP($E147,Lists!$C$2:$E$20,2,FALSE),"")),IFERROR(VLOOKUP($E147,Lists!$C$2:$E$20,2,FALSE),""))))&amp;IF($AC147="Yes",IF(N($X147)&gt;=3," | VIP Team checkpoints complete - no more automatic check-ins"," | Day "&amp;CHOOSE(N($X147)+1,1,7,14)&amp;" VIP Team check-in - confirm active/depositing"),"")</f>
        <v/>
      </c>
      <c r="L147" s="11" t="n"/>
      <c r="M147" s="11" t="n"/>
      <c r="N147" s="15" t="n"/>
      <c r="O147" s="11">
        <f>IF($E147="","",IF(AND($E147="Active",$F147="Green"),"Yes","No"))</f>
        <v/>
      </c>
      <c r="P147" s="11" t="n"/>
      <c r="Q147">
        <f>IF($I147="","",ROUND(TODAY()-$I147,0))</f>
        <v/>
      </c>
      <c r="R147">
        <f>IF($B147="",0,IF(OR(AND(ISNUMBER($J147),$J147&lt;=TODAY(),$E147&lt;&gt;"Dead Lead"),AND($D147="",$E147&lt;&gt;"",$E147&lt;&gt;"Dead Lead",OR($I147="",$I147&lt;TODAY()))),1,0))</f>
        <v/>
      </c>
      <c r="S147">
        <f>IF($R147=1,SUMPRODUCT(($R$4:$R$203=1)*(($Q$4:$Q$203&gt;$Q147)+(($Q$4:$Q$203=$Q147)*(ROW($Q$4:$Q$203)&lt;ROW($Q147)))))+1,"")</f>
        <v/>
      </c>
      <c r="T147" s="11">
        <f>IF($B147="","",0)</f>
        <v/>
      </c>
      <c r="U147">
        <f>IF($B147="",0,IF($E147="Dead Lead",1,0))</f>
        <v/>
      </c>
      <c r="V147">
        <f>IF($U147=1,SUMPRODUCT(($U$4:$U$203=1)*(($J$4:$J$203&lt;$J147)+(($J$4:$J$203=$J147)*(ROW($J$4:$J$203)&lt;ROW($J147)))))+1,"")</f>
        <v/>
      </c>
      <c r="W147" s="12">
        <f>IF($B147="","","")</f>
        <v/>
      </c>
      <c r="X147" s="11">
        <f>IF($B147="","",0)</f>
        <v/>
      </c>
      <c r="Y147">
        <f>IF($B147="",0,IF(AND($R147=0,$E147&lt;&gt;"Dead Lead",ISNUMBER($J147),$J147&lt;=TODAY()+7),1,0))</f>
        <v/>
      </c>
      <c r="Z147">
        <f>IF($Y147=1,SUMPRODUCT(($Y$4:$Y$203=1)*(($J$4:$J$203&lt;$J147)+(($J$4:$J$203=$J147)*(ROW($J$4:$J$203)&lt;ROW($J147)))))+1,"")</f>
        <v/>
      </c>
      <c r="AA147" s="12">
        <f>IF($B147="","","")</f>
        <v/>
      </c>
      <c r="AB147" s="11">
        <f>IF($B147="","",0)</f>
        <v/>
      </c>
      <c r="AC147" s="11" t="n"/>
      <c r="AD147">
        <f>IF($E147="","",IF($E147="VIP Transferred",IF($AA147="","",IF(N($AB147)&gt;=3,"N/A - Closed",$AA147+CHOOSE(N($AB147)+1,1,2,3))),IF($I147="","",IF(VLOOKUP($E147,Lists!$C$2:$E$20,3,FALSE)="CLOSED","N/A - Closed",$I147+VLOOKUP($E147,Lists!$C$2:$E$20,3,FALSE)))))</f>
        <v/>
      </c>
      <c r="AE147">
        <f>IF(AND($AC147="Yes",$W147&lt;&gt;"",N($X147)&lt;3),$W147+CHOOSE(N($X147)+1,1,7,14),"")</f>
        <v/>
      </c>
      <c r="AF147" s="12">
        <f>IF($B147="","","")</f>
        <v/>
      </c>
    </row>
    <row r="148">
      <c r="A148" s="11">
        <f>IF($B148="","","YU-"&amp;TEXT(ROW()-3,"0000"))</f>
        <v/>
      </c>
      <c r="B148" s="11" t="n"/>
      <c r="C148" s="11" t="inlineStr">
        <is>
          <t>Discord</t>
        </is>
      </c>
      <c r="D148" s="11" t="n"/>
      <c r="E148" s="11" t="n"/>
      <c r="F148" s="11">
        <f>IF($E148="","",IF($E148="Dead Lead","Black",IF(IF(ISNUMBER($J148),TODAY()-$J148&gt;3,FALSE),"Red",IF($E148="Reactivation Queue","Red",IF(OR($E148="First Deposit",$E148="Active"),"Green","Yellow")))))</f>
        <v/>
      </c>
      <c r="G148" s="11">
        <f>IF($F148="","",IF($F148="Red",1,IF($F148="Yellow",2,IF($F148="Green",3,4))))</f>
        <v/>
      </c>
      <c r="H148" s="14" t="n"/>
      <c r="I148" s="14" t="n"/>
      <c r="J148" s="12">
        <f>IF($E148="","",IF(AND(ISNUMBER($AD148),ISNUMBER($AE148)),MIN($AD148,$AE148),IF(ISNUMBER($AE148),$AE148,$AD148)))</f>
        <v/>
      </c>
      <c r="K148" s="11">
        <f>IF($E148="","",IF($E148="VIP Transferred",IF(N($AB148)&gt;=3,"Should be Dead Lead (3 attempts, still no deposit) - will auto-update","Day "&amp;CHOOSE(N($AB148)+1,1,2,3)&amp;" URGENT VIP check-in - help them finish KYC and lock in first deposit"),IF(AND($D148="",$E148&lt;&gt;"Dead Lead"),IF(N($T148)&gt;=3,"READY FOR DEAD LEAD (3 attempts, still no sign-up)","GET ROOBET SIGN-UP - "&amp;IFERROR(VLOOKUP($E148,Lists!$C$2:$E$20,2,FALSE),"")),IFERROR(VLOOKUP($E148,Lists!$C$2:$E$20,2,FALSE),""))))&amp;IF($AC148="Yes",IF(N($X148)&gt;=3," | VIP Team checkpoints complete - no more automatic check-ins"," | Day "&amp;CHOOSE(N($X148)+1,1,7,14)&amp;" VIP Team check-in - confirm active/depositing"),"")</f>
        <v/>
      </c>
      <c r="L148" s="11" t="n"/>
      <c r="M148" s="11" t="n"/>
      <c r="N148" s="15" t="n"/>
      <c r="O148" s="11">
        <f>IF($E148="","",IF(AND($E148="Active",$F148="Green"),"Yes","No"))</f>
        <v/>
      </c>
      <c r="P148" s="11" t="n"/>
      <c r="Q148">
        <f>IF($I148="","",ROUND(TODAY()-$I148,0))</f>
        <v/>
      </c>
      <c r="R148">
        <f>IF($B148="",0,IF(OR(AND(ISNUMBER($J148),$J148&lt;=TODAY(),$E148&lt;&gt;"Dead Lead"),AND($D148="",$E148&lt;&gt;"",$E148&lt;&gt;"Dead Lead",OR($I148="",$I148&lt;TODAY()))),1,0))</f>
        <v/>
      </c>
      <c r="S148">
        <f>IF($R148=1,SUMPRODUCT(($R$4:$R$203=1)*(($Q$4:$Q$203&gt;$Q148)+(($Q$4:$Q$203=$Q148)*(ROW($Q$4:$Q$203)&lt;ROW($Q148)))))+1,"")</f>
        <v/>
      </c>
      <c r="T148" s="11">
        <f>IF($B148="","",0)</f>
        <v/>
      </c>
      <c r="U148">
        <f>IF($B148="",0,IF($E148="Dead Lead",1,0))</f>
        <v/>
      </c>
      <c r="V148">
        <f>IF($U148=1,SUMPRODUCT(($U$4:$U$203=1)*(($J$4:$J$203&lt;$J148)+(($J$4:$J$203=$J148)*(ROW($J$4:$J$203)&lt;ROW($J148)))))+1,"")</f>
        <v/>
      </c>
      <c r="W148" s="12">
        <f>IF($B148="","","")</f>
        <v/>
      </c>
      <c r="X148" s="11">
        <f>IF($B148="","",0)</f>
        <v/>
      </c>
      <c r="Y148">
        <f>IF($B148="",0,IF(AND($R148=0,$E148&lt;&gt;"Dead Lead",ISNUMBER($J148),$J148&lt;=TODAY()+7),1,0))</f>
        <v/>
      </c>
      <c r="Z148">
        <f>IF($Y148=1,SUMPRODUCT(($Y$4:$Y$203=1)*(($J$4:$J$203&lt;$J148)+(($J$4:$J$203=$J148)*(ROW($J$4:$J$203)&lt;ROW($J148)))))+1,"")</f>
        <v/>
      </c>
      <c r="AA148" s="12">
        <f>IF($B148="","","")</f>
        <v/>
      </c>
      <c r="AB148" s="11">
        <f>IF($B148="","",0)</f>
        <v/>
      </c>
      <c r="AC148" s="11" t="n"/>
      <c r="AD148">
        <f>IF($E148="","",IF($E148="VIP Transferred",IF($AA148="","",IF(N($AB148)&gt;=3,"N/A - Closed",$AA148+CHOOSE(N($AB148)+1,1,2,3))),IF($I148="","",IF(VLOOKUP($E148,Lists!$C$2:$E$20,3,FALSE)="CLOSED","N/A - Closed",$I148+VLOOKUP($E148,Lists!$C$2:$E$20,3,FALSE)))))</f>
        <v/>
      </c>
      <c r="AE148">
        <f>IF(AND($AC148="Yes",$W148&lt;&gt;"",N($X148)&lt;3),$W148+CHOOSE(N($X148)+1,1,7,14),"")</f>
        <v/>
      </c>
      <c r="AF148" s="12">
        <f>IF($B148="","","")</f>
        <v/>
      </c>
    </row>
    <row r="149">
      <c r="A149" s="11">
        <f>IF($B149="","","YU-"&amp;TEXT(ROW()-3,"0000"))</f>
        <v/>
      </c>
      <c r="B149" s="11" t="n"/>
      <c r="C149" s="11" t="inlineStr">
        <is>
          <t>Discord</t>
        </is>
      </c>
      <c r="D149" s="11" t="n"/>
      <c r="E149" s="11" t="n"/>
      <c r="F149" s="11">
        <f>IF($E149="","",IF($E149="Dead Lead","Black",IF(IF(ISNUMBER($J149),TODAY()-$J149&gt;3,FALSE),"Red",IF($E149="Reactivation Queue","Red",IF(OR($E149="First Deposit",$E149="Active"),"Green","Yellow")))))</f>
        <v/>
      </c>
      <c r="G149" s="11">
        <f>IF($F149="","",IF($F149="Red",1,IF($F149="Yellow",2,IF($F149="Green",3,4))))</f>
        <v/>
      </c>
      <c r="H149" s="14" t="n"/>
      <c r="I149" s="14" t="n"/>
      <c r="J149" s="12">
        <f>IF($E149="","",IF(AND(ISNUMBER($AD149),ISNUMBER($AE149)),MIN($AD149,$AE149),IF(ISNUMBER($AE149),$AE149,$AD149)))</f>
        <v/>
      </c>
      <c r="K149" s="11">
        <f>IF($E149="","",IF($E149="VIP Transferred",IF(N($AB149)&gt;=3,"Should be Dead Lead (3 attempts, still no deposit) - will auto-update","Day "&amp;CHOOSE(N($AB149)+1,1,2,3)&amp;" URGENT VIP check-in - help them finish KYC and lock in first deposit"),IF(AND($D149="",$E149&lt;&gt;"Dead Lead"),IF(N($T149)&gt;=3,"READY FOR DEAD LEAD (3 attempts, still no sign-up)","GET ROOBET SIGN-UP - "&amp;IFERROR(VLOOKUP($E149,Lists!$C$2:$E$20,2,FALSE),"")),IFERROR(VLOOKUP($E149,Lists!$C$2:$E$20,2,FALSE),""))))&amp;IF($AC149="Yes",IF(N($X149)&gt;=3," | VIP Team checkpoints complete - no more automatic check-ins"," | Day "&amp;CHOOSE(N($X149)+1,1,7,14)&amp;" VIP Team check-in - confirm active/depositing"),"")</f>
        <v/>
      </c>
      <c r="L149" s="11" t="n"/>
      <c r="M149" s="11" t="n"/>
      <c r="N149" s="15" t="n"/>
      <c r="O149" s="11">
        <f>IF($E149="","",IF(AND($E149="Active",$F149="Green"),"Yes","No"))</f>
        <v/>
      </c>
      <c r="P149" s="11" t="n"/>
      <c r="Q149">
        <f>IF($I149="","",ROUND(TODAY()-$I149,0))</f>
        <v/>
      </c>
      <c r="R149">
        <f>IF($B149="",0,IF(OR(AND(ISNUMBER($J149),$J149&lt;=TODAY(),$E149&lt;&gt;"Dead Lead"),AND($D149="",$E149&lt;&gt;"",$E149&lt;&gt;"Dead Lead",OR($I149="",$I149&lt;TODAY()))),1,0))</f>
        <v/>
      </c>
      <c r="S149">
        <f>IF($R149=1,SUMPRODUCT(($R$4:$R$203=1)*(($Q$4:$Q$203&gt;$Q149)+(($Q$4:$Q$203=$Q149)*(ROW($Q$4:$Q$203)&lt;ROW($Q149)))))+1,"")</f>
        <v/>
      </c>
      <c r="T149" s="11">
        <f>IF($B149="","",0)</f>
        <v/>
      </c>
      <c r="U149">
        <f>IF($B149="",0,IF($E149="Dead Lead",1,0))</f>
        <v/>
      </c>
      <c r="V149">
        <f>IF($U149=1,SUMPRODUCT(($U$4:$U$203=1)*(($J$4:$J$203&lt;$J149)+(($J$4:$J$203=$J149)*(ROW($J$4:$J$203)&lt;ROW($J149)))))+1,"")</f>
        <v/>
      </c>
      <c r="W149" s="12">
        <f>IF($B149="","","")</f>
        <v/>
      </c>
      <c r="X149" s="11">
        <f>IF($B149="","",0)</f>
        <v/>
      </c>
      <c r="Y149">
        <f>IF($B149="",0,IF(AND($R149=0,$E149&lt;&gt;"Dead Lead",ISNUMBER($J149),$J149&lt;=TODAY()+7),1,0))</f>
        <v/>
      </c>
      <c r="Z149">
        <f>IF($Y149=1,SUMPRODUCT(($Y$4:$Y$203=1)*(($J$4:$J$203&lt;$J149)+(($J$4:$J$203=$J149)*(ROW($J$4:$J$203)&lt;ROW($J149)))))+1,"")</f>
        <v/>
      </c>
      <c r="AA149" s="12">
        <f>IF($B149="","","")</f>
        <v/>
      </c>
      <c r="AB149" s="11">
        <f>IF($B149="","",0)</f>
        <v/>
      </c>
      <c r="AC149" s="11" t="n"/>
      <c r="AD149">
        <f>IF($E149="","",IF($E149="VIP Transferred",IF($AA149="","",IF(N($AB149)&gt;=3,"N/A - Closed",$AA149+CHOOSE(N($AB149)+1,1,2,3))),IF($I149="","",IF(VLOOKUP($E149,Lists!$C$2:$E$20,3,FALSE)="CLOSED","N/A - Closed",$I149+VLOOKUP($E149,Lists!$C$2:$E$20,3,FALSE)))))</f>
        <v/>
      </c>
      <c r="AE149">
        <f>IF(AND($AC149="Yes",$W149&lt;&gt;"",N($X149)&lt;3),$W149+CHOOSE(N($X149)+1,1,7,14),"")</f>
        <v/>
      </c>
      <c r="AF149" s="12">
        <f>IF($B149="","","")</f>
        <v/>
      </c>
    </row>
    <row r="150">
      <c r="A150" s="11">
        <f>IF($B150="","","YU-"&amp;TEXT(ROW()-3,"0000"))</f>
        <v/>
      </c>
      <c r="B150" s="11" t="n"/>
      <c r="C150" s="11" t="inlineStr">
        <is>
          <t>Discord</t>
        </is>
      </c>
      <c r="D150" s="11" t="n"/>
      <c r="E150" s="11" t="n"/>
      <c r="F150" s="11">
        <f>IF($E150="","",IF($E150="Dead Lead","Black",IF(IF(ISNUMBER($J150),TODAY()-$J150&gt;3,FALSE),"Red",IF($E150="Reactivation Queue","Red",IF(OR($E150="First Deposit",$E150="Active"),"Green","Yellow")))))</f>
        <v/>
      </c>
      <c r="G150" s="11">
        <f>IF($F150="","",IF($F150="Red",1,IF($F150="Yellow",2,IF($F150="Green",3,4))))</f>
        <v/>
      </c>
      <c r="H150" s="14" t="n"/>
      <c r="I150" s="14" t="n"/>
      <c r="J150" s="12">
        <f>IF($E150="","",IF(AND(ISNUMBER($AD150),ISNUMBER($AE150)),MIN($AD150,$AE150),IF(ISNUMBER($AE150),$AE150,$AD150)))</f>
        <v/>
      </c>
      <c r="K150" s="11">
        <f>IF($E150="","",IF($E150="VIP Transferred",IF(N($AB150)&gt;=3,"Should be Dead Lead (3 attempts, still no deposit) - will auto-update","Day "&amp;CHOOSE(N($AB150)+1,1,2,3)&amp;" URGENT VIP check-in - help them finish KYC and lock in first deposit"),IF(AND($D150="",$E150&lt;&gt;"Dead Lead"),IF(N($T150)&gt;=3,"READY FOR DEAD LEAD (3 attempts, still no sign-up)","GET ROOBET SIGN-UP - "&amp;IFERROR(VLOOKUP($E150,Lists!$C$2:$E$20,2,FALSE),"")),IFERROR(VLOOKUP($E150,Lists!$C$2:$E$20,2,FALSE),""))))&amp;IF($AC150="Yes",IF(N($X150)&gt;=3," | VIP Team checkpoints complete - no more automatic check-ins"," | Day "&amp;CHOOSE(N($X150)+1,1,7,14)&amp;" VIP Team check-in - confirm active/depositing"),"")</f>
        <v/>
      </c>
      <c r="L150" s="11" t="n"/>
      <c r="M150" s="11" t="n"/>
      <c r="N150" s="15" t="n"/>
      <c r="O150" s="11">
        <f>IF($E150="","",IF(AND($E150="Active",$F150="Green"),"Yes","No"))</f>
        <v/>
      </c>
      <c r="P150" s="11" t="n"/>
      <c r="Q150">
        <f>IF($I150="","",ROUND(TODAY()-$I150,0))</f>
        <v/>
      </c>
      <c r="R150">
        <f>IF($B150="",0,IF(OR(AND(ISNUMBER($J150),$J150&lt;=TODAY(),$E150&lt;&gt;"Dead Lead"),AND($D150="",$E150&lt;&gt;"",$E150&lt;&gt;"Dead Lead",OR($I150="",$I150&lt;TODAY()))),1,0))</f>
        <v/>
      </c>
      <c r="S150">
        <f>IF($R150=1,SUMPRODUCT(($R$4:$R$203=1)*(($Q$4:$Q$203&gt;$Q150)+(($Q$4:$Q$203=$Q150)*(ROW($Q$4:$Q$203)&lt;ROW($Q150)))))+1,"")</f>
        <v/>
      </c>
      <c r="T150" s="11">
        <f>IF($B150="","",0)</f>
        <v/>
      </c>
      <c r="U150">
        <f>IF($B150="",0,IF($E150="Dead Lead",1,0))</f>
        <v/>
      </c>
      <c r="V150">
        <f>IF($U150=1,SUMPRODUCT(($U$4:$U$203=1)*(($J$4:$J$203&lt;$J150)+(($J$4:$J$203=$J150)*(ROW($J$4:$J$203)&lt;ROW($J150)))))+1,"")</f>
        <v/>
      </c>
      <c r="W150" s="12">
        <f>IF($B150="","","")</f>
        <v/>
      </c>
      <c r="X150" s="11">
        <f>IF($B150="","",0)</f>
        <v/>
      </c>
      <c r="Y150">
        <f>IF($B150="",0,IF(AND($R150=0,$E150&lt;&gt;"Dead Lead",ISNUMBER($J150),$J150&lt;=TODAY()+7),1,0))</f>
        <v/>
      </c>
      <c r="Z150">
        <f>IF($Y150=1,SUMPRODUCT(($Y$4:$Y$203=1)*(($J$4:$J$203&lt;$J150)+(($J$4:$J$203=$J150)*(ROW($J$4:$J$203)&lt;ROW($J150)))))+1,"")</f>
        <v/>
      </c>
      <c r="AA150" s="12">
        <f>IF($B150="","","")</f>
        <v/>
      </c>
      <c r="AB150" s="11">
        <f>IF($B150="","",0)</f>
        <v/>
      </c>
      <c r="AC150" s="11" t="n"/>
      <c r="AD150">
        <f>IF($E150="","",IF($E150="VIP Transferred",IF($AA150="","",IF(N($AB150)&gt;=3,"N/A - Closed",$AA150+CHOOSE(N($AB150)+1,1,2,3))),IF($I150="","",IF(VLOOKUP($E150,Lists!$C$2:$E$20,3,FALSE)="CLOSED","N/A - Closed",$I150+VLOOKUP($E150,Lists!$C$2:$E$20,3,FALSE)))))</f>
        <v/>
      </c>
      <c r="AE150">
        <f>IF(AND($AC150="Yes",$W150&lt;&gt;"",N($X150)&lt;3),$W150+CHOOSE(N($X150)+1,1,7,14),"")</f>
        <v/>
      </c>
      <c r="AF150" s="12">
        <f>IF($B150="","","")</f>
        <v/>
      </c>
    </row>
    <row r="151">
      <c r="A151" s="11">
        <f>IF($B151="","","YU-"&amp;TEXT(ROW()-3,"0000"))</f>
        <v/>
      </c>
      <c r="B151" s="11" t="n"/>
      <c r="C151" s="11" t="inlineStr">
        <is>
          <t>Discord</t>
        </is>
      </c>
      <c r="D151" s="11" t="n"/>
      <c r="E151" s="11" t="n"/>
      <c r="F151" s="11">
        <f>IF($E151="","",IF($E151="Dead Lead","Black",IF(IF(ISNUMBER($J151),TODAY()-$J151&gt;3,FALSE),"Red",IF($E151="Reactivation Queue","Red",IF(OR($E151="First Deposit",$E151="Active"),"Green","Yellow")))))</f>
        <v/>
      </c>
      <c r="G151" s="11">
        <f>IF($F151="","",IF($F151="Red",1,IF($F151="Yellow",2,IF($F151="Green",3,4))))</f>
        <v/>
      </c>
      <c r="H151" s="14" t="n"/>
      <c r="I151" s="14" t="n"/>
      <c r="J151" s="12">
        <f>IF($E151="","",IF(AND(ISNUMBER($AD151),ISNUMBER($AE151)),MIN($AD151,$AE151),IF(ISNUMBER($AE151),$AE151,$AD151)))</f>
        <v/>
      </c>
      <c r="K151" s="11">
        <f>IF($E151="","",IF($E151="VIP Transferred",IF(N($AB151)&gt;=3,"Should be Dead Lead (3 attempts, still no deposit) - will auto-update","Day "&amp;CHOOSE(N($AB151)+1,1,2,3)&amp;" URGENT VIP check-in - help them finish KYC and lock in first deposit"),IF(AND($D151="",$E151&lt;&gt;"Dead Lead"),IF(N($T151)&gt;=3,"READY FOR DEAD LEAD (3 attempts, still no sign-up)","GET ROOBET SIGN-UP - "&amp;IFERROR(VLOOKUP($E151,Lists!$C$2:$E$20,2,FALSE),"")),IFERROR(VLOOKUP($E151,Lists!$C$2:$E$20,2,FALSE),""))))&amp;IF($AC151="Yes",IF(N($X151)&gt;=3," | VIP Team checkpoints complete - no more automatic check-ins"," | Day "&amp;CHOOSE(N($X151)+1,1,7,14)&amp;" VIP Team check-in - confirm active/depositing"),"")</f>
        <v/>
      </c>
      <c r="L151" s="11" t="n"/>
      <c r="M151" s="11" t="n"/>
      <c r="N151" s="15" t="n"/>
      <c r="O151" s="11">
        <f>IF($E151="","",IF(AND($E151="Active",$F151="Green"),"Yes","No"))</f>
        <v/>
      </c>
      <c r="P151" s="11" t="n"/>
      <c r="Q151">
        <f>IF($I151="","",ROUND(TODAY()-$I151,0))</f>
        <v/>
      </c>
      <c r="R151">
        <f>IF($B151="",0,IF(OR(AND(ISNUMBER($J151),$J151&lt;=TODAY(),$E151&lt;&gt;"Dead Lead"),AND($D151="",$E151&lt;&gt;"",$E151&lt;&gt;"Dead Lead",OR($I151="",$I151&lt;TODAY()))),1,0))</f>
        <v/>
      </c>
      <c r="S151">
        <f>IF($R151=1,SUMPRODUCT(($R$4:$R$203=1)*(($Q$4:$Q$203&gt;$Q151)+(($Q$4:$Q$203=$Q151)*(ROW($Q$4:$Q$203)&lt;ROW($Q151)))))+1,"")</f>
        <v/>
      </c>
      <c r="T151" s="11">
        <f>IF($B151="","",0)</f>
        <v/>
      </c>
      <c r="U151">
        <f>IF($B151="",0,IF($E151="Dead Lead",1,0))</f>
        <v/>
      </c>
      <c r="V151">
        <f>IF($U151=1,SUMPRODUCT(($U$4:$U$203=1)*(($J$4:$J$203&lt;$J151)+(($J$4:$J$203=$J151)*(ROW($J$4:$J$203)&lt;ROW($J151)))))+1,"")</f>
        <v/>
      </c>
      <c r="W151" s="12">
        <f>IF($B151="","","")</f>
        <v/>
      </c>
      <c r="X151" s="11">
        <f>IF($B151="","",0)</f>
        <v/>
      </c>
      <c r="Y151">
        <f>IF($B151="",0,IF(AND($R151=0,$E151&lt;&gt;"Dead Lead",ISNUMBER($J151),$J151&lt;=TODAY()+7),1,0))</f>
        <v/>
      </c>
      <c r="Z151">
        <f>IF($Y151=1,SUMPRODUCT(($Y$4:$Y$203=1)*(($J$4:$J$203&lt;$J151)+(($J$4:$J$203=$J151)*(ROW($J$4:$J$203)&lt;ROW($J151)))))+1,"")</f>
        <v/>
      </c>
      <c r="AA151" s="12">
        <f>IF($B151="","","")</f>
        <v/>
      </c>
      <c r="AB151" s="11">
        <f>IF($B151="","",0)</f>
        <v/>
      </c>
      <c r="AC151" s="11" t="n"/>
      <c r="AD151">
        <f>IF($E151="","",IF($E151="VIP Transferred",IF($AA151="","",IF(N($AB151)&gt;=3,"N/A - Closed",$AA151+CHOOSE(N($AB151)+1,1,2,3))),IF($I151="","",IF(VLOOKUP($E151,Lists!$C$2:$E$20,3,FALSE)="CLOSED","N/A - Closed",$I151+VLOOKUP($E151,Lists!$C$2:$E$20,3,FALSE)))))</f>
        <v/>
      </c>
      <c r="AE151">
        <f>IF(AND($AC151="Yes",$W151&lt;&gt;"",N($X151)&lt;3),$W151+CHOOSE(N($X151)+1,1,7,14),"")</f>
        <v/>
      </c>
      <c r="AF151" s="12">
        <f>IF($B151="","","")</f>
        <v/>
      </c>
    </row>
    <row r="152">
      <c r="A152" s="11">
        <f>IF($B152="","","YU-"&amp;TEXT(ROW()-3,"0000"))</f>
        <v/>
      </c>
      <c r="B152" s="11" t="n"/>
      <c r="C152" s="11" t="inlineStr">
        <is>
          <t>Discord</t>
        </is>
      </c>
      <c r="D152" s="11" t="n"/>
      <c r="E152" s="11" t="n"/>
      <c r="F152" s="11">
        <f>IF($E152="","",IF($E152="Dead Lead","Black",IF(IF(ISNUMBER($J152),TODAY()-$J152&gt;3,FALSE),"Red",IF($E152="Reactivation Queue","Red",IF(OR($E152="First Deposit",$E152="Active"),"Green","Yellow")))))</f>
        <v/>
      </c>
      <c r="G152" s="11">
        <f>IF($F152="","",IF($F152="Red",1,IF($F152="Yellow",2,IF($F152="Green",3,4))))</f>
        <v/>
      </c>
      <c r="H152" s="14" t="n"/>
      <c r="I152" s="14" t="n"/>
      <c r="J152" s="12">
        <f>IF($E152="","",IF(AND(ISNUMBER($AD152),ISNUMBER($AE152)),MIN($AD152,$AE152),IF(ISNUMBER($AE152),$AE152,$AD152)))</f>
        <v/>
      </c>
      <c r="K152" s="11">
        <f>IF($E152="","",IF($E152="VIP Transferred",IF(N($AB152)&gt;=3,"Should be Dead Lead (3 attempts, still no deposit) - will auto-update","Day "&amp;CHOOSE(N($AB152)+1,1,2,3)&amp;" URGENT VIP check-in - help them finish KYC and lock in first deposit"),IF(AND($D152="",$E152&lt;&gt;"Dead Lead"),IF(N($T152)&gt;=3,"READY FOR DEAD LEAD (3 attempts, still no sign-up)","GET ROOBET SIGN-UP - "&amp;IFERROR(VLOOKUP($E152,Lists!$C$2:$E$20,2,FALSE),"")),IFERROR(VLOOKUP($E152,Lists!$C$2:$E$20,2,FALSE),""))))&amp;IF($AC152="Yes",IF(N($X152)&gt;=3," | VIP Team checkpoints complete - no more automatic check-ins"," | Day "&amp;CHOOSE(N($X152)+1,1,7,14)&amp;" VIP Team check-in - confirm active/depositing"),"")</f>
        <v/>
      </c>
      <c r="L152" s="11" t="n"/>
      <c r="M152" s="11" t="n"/>
      <c r="N152" s="15" t="n"/>
      <c r="O152" s="11">
        <f>IF($E152="","",IF(AND($E152="Active",$F152="Green"),"Yes","No"))</f>
        <v/>
      </c>
      <c r="P152" s="11" t="n"/>
      <c r="Q152">
        <f>IF($I152="","",ROUND(TODAY()-$I152,0))</f>
        <v/>
      </c>
      <c r="R152">
        <f>IF($B152="",0,IF(OR(AND(ISNUMBER($J152),$J152&lt;=TODAY(),$E152&lt;&gt;"Dead Lead"),AND($D152="",$E152&lt;&gt;"",$E152&lt;&gt;"Dead Lead",OR($I152="",$I152&lt;TODAY()))),1,0))</f>
        <v/>
      </c>
      <c r="S152">
        <f>IF($R152=1,SUMPRODUCT(($R$4:$R$203=1)*(($Q$4:$Q$203&gt;$Q152)+(($Q$4:$Q$203=$Q152)*(ROW($Q$4:$Q$203)&lt;ROW($Q152)))))+1,"")</f>
        <v/>
      </c>
      <c r="T152" s="11">
        <f>IF($B152="","",0)</f>
        <v/>
      </c>
      <c r="U152">
        <f>IF($B152="",0,IF($E152="Dead Lead",1,0))</f>
        <v/>
      </c>
      <c r="V152">
        <f>IF($U152=1,SUMPRODUCT(($U$4:$U$203=1)*(($J$4:$J$203&lt;$J152)+(($J$4:$J$203=$J152)*(ROW($J$4:$J$203)&lt;ROW($J152)))))+1,"")</f>
        <v/>
      </c>
      <c r="W152" s="12">
        <f>IF($B152="","","")</f>
        <v/>
      </c>
      <c r="X152" s="11">
        <f>IF($B152="","",0)</f>
        <v/>
      </c>
      <c r="Y152">
        <f>IF($B152="",0,IF(AND($R152=0,$E152&lt;&gt;"Dead Lead",ISNUMBER($J152),$J152&lt;=TODAY()+7),1,0))</f>
        <v/>
      </c>
      <c r="Z152">
        <f>IF($Y152=1,SUMPRODUCT(($Y$4:$Y$203=1)*(($J$4:$J$203&lt;$J152)+(($J$4:$J$203=$J152)*(ROW($J$4:$J$203)&lt;ROW($J152)))))+1,"")</f>
        <v/>
      </c>
      <c r="AA152" s="12">
        <f>IF($B152="","","")</f>
        <v/>
      </c>
      <c r="AB152" s="11">
        <f>IF($B152="","",0)</f>
        <v/>
      </c>
      <c r="AC152" s="11" t="n"/>
      <c r="AD152">
        <f>IF($E152="","",IF($E152="VIP Transferred",IF($AA152="","",IF(N($AB152)&gt;=3,"N/A - Closed",$AA152+CHOOSE(N($AB152)+1,1,2,3))),IF($I152="","",IF(VLOOKUP($E152,Lists!$C$2:$E$20,3,FALSE)="CLOSED","N/A - Closed",$I152+VLOOKUP($E152,Lists!$C$2:$E$20,3,FALSE)))))</f>
        <v/>
      </c>
      <c r="AE152">
        <f>IF(AND($AC152="Yes",$W152&lt;&gt;"",N($X152)&lt;3),$W152+CHOOSE(N($X152)+1,1,7,14),"")</f>
        <v/>
      </c>
      <c r="AF152" s="12">
        <f>IF($B152="","","")</f>
        <v/>
      </c>
    </row>
    <row r="153">
      <c r="A153" s="11">
        <f>IF($B153="","","YU-"&amp;TEXT(ROW()-3,"0000"))</f>
        <v/>
      </c>
      <c r="B153" s="11" t="n"/>
      <c r="C153" s="11" t="inlineStr">
        <is>
          <t>Discord</t>
        </is>
      </c>
      <c r="D153" s="11" t="n"/>
      <c r="E153" s="11" t="n"/>
      <c r="F153" s="11">
        <f>IF($E153="","",IF($E153="Dead Lead","Black",IF(IF(ISNUMBER($J153),TODAY()-$J153&gt;3,FALSE),"Red",IF($E153="Reactivation Queue","Red",IF(OR($E153="First Deposit",$E153="Active"),"Green","Yellow")))))</f>
        <v/>
      </c>
      <c r="G153" s="11">
        <f>IF($F153="","",IF($F153="Red",1,IF($F153="Yellow",2,IF($F153="Green",3,4))))</f>
        <v/>
      </c>
      <c r="H153" s="14" t="n"/>
      <c r="I153" s="14" t="n"/>
      <c r="J153" s="12">
        <f>IF($E153="","",IF(AND(ISNUMBER($AD153),ISNUMBER($AE153)),MIN($AD153,$AE153),IF(ISNUMBER($AE153),$AE153,$AD153)))</f>
        <v/>
      </c>
      <c r="K153" s="11">
        <f>IF($E153="","",IF($E153="VIP Transferred",IF(N($AB153)&gt;=3,"Should be Dead Lead (3 attempts, still no deposit) - will auto-update","Day "&amp;CHOOSE(N($AB153)+1,1,2,3)&amp;" URGENT VIP check-in - help them finish KYC and lock in first deposit"),IF(AND($D153="",$E153&lt;&gt;"Dead Lead"),IF(N($T153)&gt;=3,"READY FOR DEAD LEAD (3 attempts, still no sign-up)","GET ROOBET SIGN-UP - "&amp;IFERROR(VLOOKUP($E153,Lists!$C$2:$E$20,2,FALSE),"")),IFERROR(VLOOKUP($E153,Lists!$C$2:$E$20,2,FALSE),""))))&amp;IF($AC153="Yes",IF(N($X153)&gt;=3," | VIP Team checkpoints complete - no more automatic check-ins"," | Day "&amp;CHOOSE(N($X153)+1,1,7,14)&amp;" VIP Team check-in - confirm active/depositing"),"")</f>
        <v/>
      </c>
      <c r="L153" s="11" t="n"/>
      <c r="M153" s="11" t="n"/>
      <c r="N153" s="15" t="n"/>
      <c r="O153" s="11">
        <f>IF($E153="","",IF(AND($E153="Active",$F153="Green"),"Yes","No"))</f>
        <v/>
      </c>
      <c r="P153" s="11" t="n"/>
      <c r="Q153">
        <f>IF($I153="","",ROUND(TODAY()-$I153,0))</f>
        <v/>
      </c>
      <c r="R153">
        <f>IF($B153="",0,IF(OR(AND(ISNUMBER($J153),$J153&lt;=TODAY(),$E153&lt;&gt;"Dead Lead"),AND($D153="",$E153&lt;&gt;"",$E153&lt;&gt;"Dead Lead",OR($I153="",$I153&lt;TODAY()))),1,0))</f>
        <v/>
      </c>
      <c r="S153">
        <f>IF($R153=1,SUMPRODUCT(($R$4:$R$203=1)*(($Q$4:$Q$203&gt;$Q153)+(($Q$4:$Q$203=$Q153)*(ROW($Q$4:$Q$203)&lt;ROW($Q153)))))+1,"")</f>
        <v/>
      </c>
      <c r="T153" s="11">
        <f>IF($B153="","",0)</f>
        <v/>
      </c>
      <c r="U153">
        <f>IF($B153="",0,IF($E153="Dead Lead",1,0))</f>
        <v/>
      </c>
      <c r="V153">
        <f>IF($U153=1,SUMPRODUCT(($U$4:$U$203=1)*(($J$4:$J$203&lt;$J153)+(($J$4:$J$203=$J153)*(ROW($J$4:$J$203)&lt;ROW($J153)))))+1,"")</f>
        <v/>
      </c>
      <c r="W153" s="12">
        <f>IF($B153="","","")</f>
        <v/>
      </c>
      <c r="X153" s="11">
        <f>IF($B153="","",0)</f>
        <v/>
      </c>
      <c r="Y153">
        <f>IF($B153="",0,IF(AND($R153=0,$E153&lt;&gt;"Dead Lead",ISNUMBER($J153),$J153&lt;=TODAY()+7),1,0))</f>
        <v/>
      </c>
      <c r="Z153">
        <f>IF($Y153=1,SUMPRODUCT(($Y$4:$Y$203=1)*(($J$4:$J$203&lt;$J153)+(($J$4:$J$203=$J153)*(ROW($J$4:$J$203)&lt;ROW($J153)))))+1,"")</f>
        <v/>
      </c>
      <c r="AA153" s="12">
        <f>IF($B153="","","")</f>
        <v/>
      </c>
      <c r="AB153" s="11">
        <f>IF($B153="","",0)</f>
        <v/>
      </c>
      <c r="AC153" s="11" t="n"/>
      <c r="AD153">
        <f>IF($E153="","",IF($E153="VIP Transferred",IF($AA153="","",IF(N($AB153)&gt;=3,"N/A - Closed",$AA153+CHOOSE(N($AB153)+1,1,2,3))),IF($I153="","",IF(VLOOKUP($E153,Lists!$C$2:$E$20,3,FALSE)="CLOSED","N/A - Closed",$I153+VLOOKUP($E153,Lists!$C$2:$E$20,3,FALSE)))))</f>
        <v/>
      </c>
      <c r="AE153">
        <f>IF(AND($AC153="Yes",$W153&lt;&gt;"",N($X153)&lt;3),$W153+CHOOSE(N($X153)+1,1,7,14),"")</f>
        <v/>
      </c>
      <c r="AF153" s="12">
        <f>IF($B153="","","")</f>
        <v/>
      </c>
    </row>
    <row r="154">
      <c r="A154" s="11">
        <f>IF($B154="","","YU-"&amp;TEXT(ROW()-3,"0000"))</f>
        <v/>
      </c>
      <c r="B154" s="11" t="n"/>
      <c r="C154" s="11" t="inlineStr">
        <is>
          <t>Discord</t>
        </is>
      </c>
      <c r="D154" s="11" t="n"/>
      <c r="E154" s="11" t="n"/>
      <c r="F154" s="11">
        <f>IF($E154="","",IF($E154="Dead Lead","Black",IF(IF(ISNUMBER($J154),TODAY()-$J154&gt;3,FALSE),"Red",IF($E154="Reactivation Queue","Red",IF(OR($E154="First Deposit",$E154="Active"),"Green","Yellow")))))</f>
        <v/>
      </c>
      <c r="G154" s="11">
        <f>IF($F154="","",IF($F154="Red",1,IF($F154="Yellow",2,IF($F154="Green",3,4))))</f>
        <v/>
      </c>
      <c r="H154" s="14" t="n"/>
      <c r="I154" s="14" t="n"/>
      <c r="J154" s="12">
        <f>IF($E154="","",IF(AND(ISNUMBER($AD154),ISNUMBER($AE154)),MIN($AD154,$AE154),IF(ISNUMBER($AE154),$AE154,$AD154)))</f>
        <v/>
      </c>
      <c r="K154" s="11">
        <f>IF($E154="","",IF($E154="VIP Transferred",IF(N($AB154)&gt;=3,"Should be Dead Lead (3 attempts, still no deposit) - will auto-update","Day "&amp;CHOOSE(N($AB154)+1,1,2,3)&amp;" URGENT VIP check-in - help them finish KYC and lock in first deposit"),IF(AND($D154="",$E154&lt;&gt;"Dead Lead"),IF(N($T154)&gt;=3,"READY FOR DEAD LEAD (3 attempts, still no sign-up)","GET ROOBET SIGN-UP - "&amp;IFERROR(VLOOKUP($E154,Lists!$C$2:$E$20,2,FALSE),"")),IFERROR(VLOOKUP($E154,Lists!$C$2:$E$20,2,FALSE),""))))&amp;IF($AC154="Yes",IF(N($X154)&gt;=3," | VIP Team checkpoints complete - no more automatic check-ins"," | Day "&amp;CHOOSE(N($X154)+1,1,7,14)&amp;" VIP Team check-in - confirm active/depositing"),"")</f>
        <v/>
      </c>
      <c r="L154" s="11" t="n"/>
      <c r="M154" s="11" t="n"/>
      <c r="N154" s="15" t="n"/>
      <c r="O154" s="11">
        <f>IF($E154="","",IF(AND($E154="Active",$F154="Green"),"Yes","No"))</f>
        <v/>
      </c>
      <c r="P154" s="11" t="n"/>
      <c r="Q154">
        <f>IF($I154="","",ROUND(TODAY()-$I154,0))</f>
        <v/>
      </c>
      <c r="R154">
        <f>IF($B154="",0,IF(OR(AND(ISNUMBER($J154),$J154&lt;=TODAY(),$E154&lt;&gt;"Dead Lead"),AND($D154="",$E154&lt;&gt;"",$E154&lt;&gt;"Dead Lead",OR($I154="",$I154&lt;TODAY()))),1,0))</f>
        <v/>
      </c>
      <c r="S154">
        <f>IF($R154=1,SUMPRODUCT(($R$4:$R$203=1)*(($Q$4:$Q$203&gt;$Q154)+(($Q$4:$Q$203=$Q154)*(ROW($Q$4:$Q$203)&lt;ROW($Q154)))))+1,"")</f>
        <v/>
      </c>
      <c r="T154" s="11">
        <f>IF($B154="","",0)</f>
        <v/>
      </c>
      <c r="U154">
        <f>IF($B154="",0,IF($E154="Dead Lead",1,0))</f>
        <v/>
      </c>
      <c r="V154">
        <f>IF($U154=1,SUMPRODUCT(($U$4:$U$203=1)*(($J$4:$J$203&lt;$J154)+(($J$4:$J$203=$J154)*(ROW($J$4:$J$203)&lt;ROW($J154)))))+1,"")</f>
        <v/>
      </c>
      <c r="W154" s="12">
        <f>IF($B154="","","")</f>
        <v/>
      </c>
      <c r="X154" s="11">
        <f>IF($B154="","",0)</f>
        <v/>
      </c>
      <c r="Y154">
        <f>IF($B154="",0,IF(AND($R154=0,$E154&lt;&gt;"Dead Lead",ISNUMBER($J154),$J154&lt;=TODAY()+7),1,0))</f>
        <v/>
      </c>
      <c r="Z154">
        <f>IF($Y154=1,SUMPRODUCT(($Y$4:$Y$203=1)*(($J$4:$J$203&lt;$J154)+(($J$4:$J$203=$J154)*(ROW($J$4:$J$203)&lt;ROW($J154)))))+1,"")</f>
        <v/>
      </c>
      <c r="AA154" s="12">
        <f>IF($B154="","","")</f>
        <v/>
      </c>
      <c r="AB154" s="11">
        <f>IF($B154="","",0)</f>
        <v/>
      </c>
      <c r="AC154" s="11" t="n"/>
      <c r="AD154">
        <f>IF($E154="","",IF($E154="VIP Transferred",IF($AA154="","",IF(N($AB154)&gt;=3,"N/A - Closed",$AA154+CHOOSE(N($AB154)+1,1,2,3))),IF($I154="","",IF(VLOOKUP($E154,Lists!$C$2:$E$20,3,FALSE)="CLOSED","N/A - Closed",$I154+VLOOKUP($E154,Lists!$C$2:$E$20,3,FALSE)))))</f>
        <v/>
      </c>
      <c r="AE154">
        <f>IF(AND($AC154="Yes",$W154&lt;&gt;"",N($X154)&lt;3),$W154+CHOOSE(N($X154)+1,1,7,14),"")</f>
        <v/>
      </c>
      <c r="AF154" s="12">
        <f>IF($B154="","","")</f>
        <v/>
      </c>
    </row>
    <row r="155">
      <c r="A155" s="11">
        <f>IF($B155="","","YU-"&amp;TEXT(ROW()-3,"0000"))</f>
        <v/>
      </c>
      <c r="B155" s="11" t="n"/>
      <c r="C155" s="11" t="inlineStr">
        <is>
          <t>Discord</t>
        </is>
      </c>
      <c r="D155" s="11" t="n"/>
      <c r="E155" s="11" t="n"/>
      <c r="F155" s="11">
        <f>IF($E155="","",IF($E155="Dead Lead","Black",IF(IF(ISNUMBER($J155),TODAY()-$J155&gt;3,FALSE),"Red",IF($E155="Reactivation Queue","Red",IF(OR($E155="First Deposit",$E155="Active"),"Green","Yellow")))))</f>
        <v/>
      </c>
      <c r="G155" s="11">
        <f>IF($F155="","",IF($F155="Red",1,IF($F155="Yellow",2,IF($F155="Green",3,4))))</f>
        <v/>
      </c>
      <c r="H155" s="14" t="n"/>
      <c r="I155" s="14" t="n"/>
      <c r="J155" s="12">
        <f>IF($E155="","",IF(AND(ISNUMBER($AD155),ISNUMBER($AE155)),MIN($AD155,$AE155),IF(ISNUMBER($AE155),$AE155,$AD155)))</f>
        <v/>
      </c>
      <c r="K155" s="11">
        <f>IF($E155="","",IF($E155="VIP Transferred",IF(N($AB155)&gt;=3,"Should be Dead Lead (3 attempts, still no deposit) - will auto-update","Day "&amp;CHOOSE(N($AB155)+1,1,2,3)&amp;" URGENT VIP check-in - help them finish KYC and lock in first deposit"),IF(AND($D155="",$E155&lt;&gt;"Dead Lead"),IF(N($T155)&gt;=3,"READY FOR DEAD LEAD (3 attempts, still no sign-up)","GET ROOBET SIGN-UP - "&amp;IFERROR(VLOOKUP($E155,Lists!$C$2:$E$20,2,FALSE),"")),IFERROR(VLOOKUP($E155,Lists!$C$2:$E$20,2,FALSE),""))))&amp;IF($AC155="Yes",IF(N($X155)&gt;=3," | VIP Team checkpoints complete - no more automatic check-ins"," | Day "&amp;CHOOSE(N($X155)+1,1,7,14)&amp;" VIP Team check-in - confirm active/depositing"),"")</f>
        <v/>
      </c>
      <c r="L155" s="11" t="n"/>
      <c r="M155" s="11" t="n"/>
      <c r="N155" s="15" t="n"/>
      <c r="O155" s="11">
        <f>IF($E155="","",IF(AND($E155="Active",$F155="Green"),"Yes","No"))</f>
        <v/>
      </c>
      <c r="P155" s="11" t="n"/>
      <c r="Q155">
        <f>IF($I155="","",ROUND(TODAY()-$I155,0))</f>
        <v/>
      </c>
      <c r="R155">
        <f>IF($B155="",0,IF(OR(AND(ISNUMBER($J155),$J155&lt;=TODAY(),$E155&lt;&gt;"Dead Lead"),AND($D155="",$E155&lt;&gt;"",$E155&lt;&gt;"Dead Lead",OR($I155="",$I155&lt;TODAY()))),1,0))</f>
        <v/>
      </c>
      <c r="S155">
        <f>IF($R155=1,SUMPRODUCT(($R$4:$R$203=1)*(($Q$4:$Q$203&gt;$Q155)+(($Q$4:$Q$203=$Q155)*(ROW($Q$4:$Q$203)&lt;ROW($Q155)))))+1,"")</f>
        <v/>
      </c>
      <c r="T155" s="11">
        <f>IF($B155="","",0)</f>
        <v/>
      </c>
      <c r="U155">
        <f>IF($B155="",0,IF($E155="Dead Lead",1,0))</f>
        <v/>
      </c>
      <c r="V155">
        <f>IF($U155=1,SUMPRODUCT(($U$4:$U$203=1)*(($J$4:$J$203&lt;$J155)+(($J$4:$J$203=$J155)*(ROW($J$4:$J$203)&lt;ROW($J155)))))+1,"")</f>
        <v/>
      </c>
      <c r="W155" s="12">
        <f>IF($B155="","","")</f>
        <v/>
      </c>
      <c r="X155" s="11">
        <f>IF($B155="","",0)</f>
        <v/>
      </c>
      <c r="Y155">
        <f>IF($B155="",0,IF(AND($R155=0,$E155&lt;&gt;"Dead Lead",ISNUMBER($J155),$J155&lt;=TODAY()+7),1,0))</f>
        <v/>
      </c>
      <c r="Z155">
        <f>IF($Y155=1,SUMPRODUCT(($Y$4:$Y$203=1)*(($J$4:$J$203&lt;$J155)+(($J$4:$J$203=$J155)*(ROW($J$4:$J$203)&lt;ROW($J155)))))+1,"")</f>
        <v/>
      </c>
      <c r="AA155" s="12">
        <f>IF($B155="","","")</f>
        <v/>
      </c>
      <c r="AB155" s="11">
        <f>IF($B155="","",0)</f>
        <v/>
      </c>
      <c r="AC155" s="11" t="n"/>
      <c r="AD155">
        <f>IF($E155="","",IF($E155="VIP Transferred",IF($AA155="","",IF(N($AB155)&gt;=3,"N/A - Closed",$AA155+CHOOSE(N($AB155)+1,1,2,3))),IF($I155="","",IF(VLOOKUP($E155,Lists!$C$2:$E$20,3,FALSE)="CLOSED","N/A - Closed",$I155+VLOOKUP($E155,Lists!$C$2:$E$20,3,FALSE)))))</f>
        <v/>
      </c>
      <c r="AE155">
        <f>IF(AND($AC155="Yes",$W155&lt;&gt;"",N($X155)&lt;3),$W155+CHOOSE(N($X155)+1,1,7,14),"")</f>
        <v/>
      </c>
      <c r="AF155" s="12">
        <f>IF($B155="","","")</f>
        <v/>
      </c>
    </row>
    <row r="156">
      <c r="A156" s="11">
        <f>IF($B156="","","YU-"&amp;TEXT(ROW()-3,"0000"))</f>
        <v/>
      </c>
      <c r="B156" s="11" t="n"/>
      <c r="C156" s="11" t="inlineStr">
        <is>
          <t>Discord</t>
        </is>
      </c>
      <c r="D156" s="11" t="n"/>
      <c r="E156" s="11" t="n"/>
      <c r="F156" s="11">
        <f>IF($E156="","",IF($E156="Dead Lead","Black",IF(IF(ISNUMBER($J156),TODAY()-$J156&gt;3,FALSE),"Red",IF($E156="Reactivation Queue","Red",IF(OR($E156="First Deposit",$E156="Active"),"Green","Yellow")))))</f>
        <v/>
      </c>
      <c r="G156" s="11">
        <f>IF($F156="","",IF($F156="Red",1,IF($F156="Yellow",2,IF($F156="Green",3,4))))</f>
        <v/>
      </c>
      <c r="H156" s="14" t="n"/>
      <c r="I156" s="14" t="n"/>
      <c r="J156" s="12">
        <f>IF($E156="","",IF(AND(ISNUMBER($AD156),ISNUMBER($AE156)),MIN($AD156,$AE156),IF(ISNUMBER($AE156),$AE156,$AD156)))</f>
        <v/>
      </c>
      <c r="K156" s="11">
        <f>IF($E156="","",IF($E156="VIP Transferred",IF(N($AB156)&gt;=3,"Should be Dead Lead (3 attempts, still no deposit) - will auto-update","Day "&amp;CHOOSE(N($AB156)+1,1,2,3)&amp;" URGENT VIP check-in - help them finish KYC and lock in first deposit"),IF(AND($D156="",$E156&lt;&gt;"Dead Lead"),IF(N($T156)&gt;=3,"READY FOR DEAD LEAD (3 attempts, still no sign-up)","GET ROOBET SIGN-UP - "&amp;IFERROR(VLOOKUP($E156,Lists!$C$2:$E$20,2,FALSE),"")),IFERROR(VLOOKUP($E156,Lists!$C$2:$E$20,2,FALSE),""))))&amp;IF($AC156="Yes",IF(N($X156)&gt;=3," | VIP Team checkpoints complete - no more automatic check-ins"," | Day "&amp;CHOOSE(N($X156)+1,1,7,14)&amp;" VIP Team check-in - confirm active/depositing"),"")</f>
        <v/>
      </c>
      <c r="L156" s="11" t="n"/>
      <c r="M156" s="11" t="n"/>
      <c r="N156" s="15" t="n"/>
      <c r="O156" s="11">
        <f>IF($E156="","",IF(AND($E156="Active",$F156="Green"),"Yes","No"))</f>
        <v/>
      </c>
      <c r="P156" s="11" t="n"/>
      <c r="Q156">
        <f>IF($I156="","",ROUND(TODAY()-$I156,0))</f>
        <v/>
      </c>
      <c r="R156">
        <f>IF($B156="",0,IF(OR(AND(ISNUMBER($J156),$J156&lt;=TODAY(),$E156&lt;&gt;"Dead Lead"),AND($D156="",$E156&lt;&gt;"",$E156&lt;&gt;"Dead Lead",OR($I156="",$I156&lt;TODAY()))),1,0))</f>
        <v/>
      </c>
      <c r="S156">
        <f>IF($R156=1,SUMPRODUCT(($R$4:$R$203=1)*(($Q$4:$Q$203&gt;$Q156)+(($Q$4:$Q$203=$Q156)*(ROW($Q$4:$Q$203)&lt;ROW($Q156)))))+1,"")</f>
        <v/>
      </c>
      <c r="T156" s="11">
        <f>IF($B156="","",0)</f>
        <v/>
      </c>
      <c r="U156">
        <f>IF($B156="",0,IF($E156="Dead Lead",1,0))</f>
        <v/>
      </c>
      <c r="V156">
        <f>IF($U156=1,SUMPRODUCT(($U$4:$U$203=1)*(($J$4:$J$203&lt;$J156)+(($J$4:$J$203=$J156)*(ROW($J$4:$J$203)&lt;ROW($J156)))))+1,"")</f>
        <v/>
      </c>
      <c r="W156" s="12">
        <f>IF($B156="","","")</f>
        <v/>
      </c>
      <c r="X156" s="11">
        <f>IF($B156="","",0)</f>
        <v/>
      </c>
      <c r="Y156">
        <f>IF($B156="",0,IF(AND($R156=0,$E156&lt;&gt;"Dead Lead",ISNUMBER($J156),$J156&lt;=TODAY()+7),1,0))</f>
        <v/>
      </c>
      <c r="Z156">
        <f>IF($Y156=1,SUMPRODUCT(($Y$4:$Y$203=1)*(($J$4:$J$203&lt;$J156)+(($J$4:$J$203=$J156)*(ROW($J$4:$J$203)&lt;ROW($J156)))))+1,"")</f>
        <v/>
      </c>
      <c r="AA156" s="12">
        <f>IF($B156="","","")</f>
        <v/>
      </c>
      <c r="AB156" s="11">
        <f>IF($B156="","",0)</f>
        <v/>
      </c>
      <c r="AC156" s="11" t="n"/>
      <c r="AD156">
        <f>IF($E156="","",IF($E156="VIP Transferred",IF($AA156="","",IF(N($AB156)&gt;=3,"N/A - Closed",$AA156+CHOOSE(N($AB156)+1,1,2,3))),IF($I156="","",IF(VLOOKUP($E156,Lists!$C$2:$E$20,3,FALSE)="CLOSED","N/A - Closed",$I156+VLOOKUP($E156,Lists!$C$2:$E$20,3,FALSE)))))</f>
        <v/>
      </c>
      <c r="AE156">
        <f>IF(AND($AC156="Yes",$W156&lt;&gt;"",N($X156)&lt;3),$W156+CHOOSE(N($X156)+1,1,7,14),"")</f>
        <v/>
      </c>
      <c r="AF156" s="12">
        <f>IF($B156="","","")</f>
        <v/>
      </c>
    </row>
    <row r="157">
      <c r="A157" s="11">
        <f>IF($B157="","","YU-"&amp;TEXT(ROW()-3,"0000"))</f>
        <v/>
      </c>
      <c r="B157" s="11" t="n"/>
      <c r="C157" s="11" t="inlineStr">
        <is>
          <t>Discord</t>
        </is>
      </c>
      <c r="D157" s="11" t="n"/>
      <c r="E157" s="11" t="n"/>
      <c r="F157" s="11">
        <f>IF($E157="","",IF($E157="Dead Lead","Black",IF(IF(ISNUMBER($J157),TODAY()-$J157&gt;3,FALSE),"Red",IF($E157="Reactivation Queue","Red",IF(OR($E157="First Deposit",$E157="Active"),"Green","Yellow")))))</f>
        <v/>
      </c>
      <c r="G157" s="11">
        <f>IF($F157="","",IF($F157="Red",1,IF($F157="Yellow",2,IF($F157="Green",3,4))))</f>
        <v/>
      </c>
      <c r="H157" s="14" t="n"/>
      <c r="I157" s="14" t="n"/>
      <c r="J157" s="12">
        <f>IF($E157="","",IF(AND(ISNUMBER($AD157),ISNUMBER($AE157)),MIN($AD157,$AE157),IF(ISNUMBER($AE157),$AE157,$AD157)))</f>
        <v/>
      </c>
      <c r="K157" s="11">
        <f>IF($E157="","",IF($E157="VIP Transferred",IF(N($AB157)&gt;=3,"Should be Dead Lead (3 attempts, still no deposit) - will auto-update","Day "&amp;CHOOSE(N($AB157)+1,1,2,3)&amp;" URGENT VIP check-in - help them finish KYC and lock in first deposit"),IF(AND($D157="",$E157&lt;&gt;"Dead Lead"),IF(N($T157)&gt;=3,"READY FOR DEAD LEAD (3 attempts, still no sign-up)","GET ROOBET SIGN-UP - "&amp;IFERROR(VLOOKUP($E157,Lists!$C$2:$E$20,2,FALSE),"")),IFERROR(VLOOKUP($E157,Lists!$C$2:$E$20,2,FALSE),""))))&amp;IF($AC157="Yes",IF(N($X157)&gt;=3," | VIP Team checkpoints complete - no more automatic check-ins"," | Day "&amp;CHOOSE(N($X157)+1,1,7,14)&amp;" VIP Team check-in - confirm active/depositing"),"")</f>
        <v/>
      </c>
      <c r="L157" s="11" t="n"/>
      <c r="M157" s="11" t="n"/>
      <c r="N157" s="15" t="n"/>
      <c r="O157" s="11">
        <f>IF($E157="","",IF(AND($E157="Active",$F157="Green"),"Yes","No"))</f>
        <v/>
      </c>
      <c r="P157" s="11" t="n"/>
      <c r="Q157">
        <f>IF($I157="","",ROUND(TODAY()-$I157,0))</f>
        <v/>
      </c>
      <c r="R157">
        <f>IF($B157="",0,IF(OR(AND(ISNUMBER($J157),$J157&lt;=TODAY(),$E157&lt;&gt;"Dead Lead"),AND($D157="",$E157&lt;&gt;"",$E157&lt;&gt;"Dead Lead",OR($I157="",$I157&lt;TODAY()))),1,0))</f>
        <v/>
      </c>
      <c r="S157">
        <f>IF($R157=1,SUMPRODUCT(($R$4:$R$203=1)*(($Q$4:$Q$203&gt;$Q157)+(($Q$4:$Q$203=$Q157)*(ROW($Q$4:$Q$203)&lt;ROW($Q157)))))+1,"")</f>
        <v/>
      </c>
      <c r="T157" s="11">
        <f>IF($B157="","",0)</f>
        <v/>
      </c>
      <c r="U157">
        <f>IF($B157="",0,IF($E157="Dead Lead",1,0))</f>
        <v/>
      </c>
      <c r="V157">
        <f>IF($U157=1,SUMPRODUCT(($U$4:$U$203=1)*(($J$4:$J$203&lt;$J157)+(($J$4:$J$203=$J157)*(ROW($J$4:$J$203)&lt;ROW($J157)))))+1,"")</f>
        <v/>
      </c>
      <c r="W157" s="12">
        <f>IF($B157="","","")</f>
        <v/>
      </c>
      <c r="X157" s="11">
        <f>IF($B157="","",0)</f>
        <v/>
      </c>
      <c r="Y157">
        <f>IF($B157="",0,IF(AND($R157=0,$E157&lt;&gt;"Dead Lead",ISNUMBER($J157),$J157&lt;=TODAY()+7),1,0))</f>
        <v/>
      </c>
      <c r="Z157">
        <f>IF($Y157=1,SUMPRODUCT(($Y$4:$Y$203=1)*(($J$4:$J$203&lt;$J157)+(($J$4:$J$203=$J157)*(ROW($J$4:$J$203)&lt;ROW($J157)))))+1,"")</f>
        <v/>
      </c>
      <c r="AA157" s="12">
        <f>IF($B157="","","")</f>
        <v/>
      </c>
      <c r="AB157" s="11">
        <f>IF($B157="","",0)</f>
        <v/>
      </c>
      <c r="AC157" s="11" t="n"/>
      <c r="AD157">
        <f>IF($E157="","",IF($E157="VIP Transferred",IF($AA157="","",IF(N($AB157)&gt;=3,"N/A - Closed",$AA157+CHOOSE(N($AB157)+1,1,2,3))),IF($I157="","",IF(VLOOKUP($E157,Lists!$C$2:$E$20,3,FALSE)="CLOSED","N/A - Closed",$I157+VLOOKUP($E157,Lists!$C$2:$E$20,3,FALSE)))))</f>
        <v/>
      </c>
      <c r="AE157">
        <f>IF(AND($AC157="Yes",$W157&lt;&gt;"",N($X157)&lt;3),$W157+CHOOSE(N($X157)+1,1,7,14),"")</f>
        <v/>
      </c>
      <c r="AF157" s="12">
        <f>IF($B157="","","")</f>
        <v/>
      </c>
    </row>
    <row r="158">
      <c r="A158" s="11">
        <f>IF($B158="","","YU-"&amp;TEXT(ROW()-3,"0000"))</f>
        <v/>
      </c>
      <c r="B158" s="11" t="n"/>
      <c r="C158" s="11" t="inlineStr">
        <is>
          <t>Discord</t>
        </is>
      </c>
      <c r="D158" s="11" t="n"/>
      <c r="E158" s="11" t="n"/>
      <c r="F158" s="11">
        <f>IF($E158="","",IF($E158="Dead Lead","Black",IF(IF(ISNUMBER($J158),TODAY()-$J158&gt;3,FALSE),"Red",IF($E158="Reactivation Queue","Red",IF(OR($E158="First Deposit",$E158="Active"),"Green","Yellow")))))</f>
        <v/>
      </c>
      <c r="G158" s="11">
        <f>IF($F158="","",IF($F158="Red",1,IF($F158="Yellow",2,IF($F158="Green",3,4))))</f>
        <v/>
      </c>
      <c r="H158" s="14" t="n"/>
      <c r="I158" s="14" t="n"/>
      <c r="J158" s="12">
        <f>IF($E158="","",IF(AND(ISNUMBER($AD158),ISNUMBER($AE158)),MIN($AD158,$AE158),IF(ISNUMBER($AE158),$AE158,$AD158)))</f>
        <v/>
      </c>
      <c r="K158" s="11">
        <f>IF($E158="","",IF($E158="VIP Transferred",IF(N($AB158)&gt;=3,"Should be Dead Lead (3 attempts, still no deposit) - will auto-update","Day "&amp;CHOOSE(N($AB158)+1,1,2,3)&amp;" URGENT VIP check-in - help them finish KYC and lock in first deposit"),IF(AND($D158="",$E158&lt;&gt;"Dead Lead"),IF(N($T158)&gt;=3,"READY FOR DEAD LEAD (3 attempts, still no sign-up)","GET ROOBET SIGN-UP - "&amp;IFERROR(VLOOKUP($E158,Lists!$C$2:$E$20,2,FALSE),"")),IFERROR(VLOOKUP($E158,Lists!$C$2:$E$20,2,FALSE),""))))&amp;IF($AC158="Yes",IF(N($X158)&gt;=3," | VIP Team checkpoints complete - no more automatic check-ins"," | Day "&amp;CHOOSE(N($X158)+1,1,7,14)&amp;" VIP Team check-in - confirm active/depositing"),"")</f>
        <v/>
      </c>
      <c r="L158" s="11" t="n"/>
      <c r="M158" s="11" t="n"/>
      <c r="N158" s="15" t="n"/>
      <c r="O158" s="11">
        <f>IF($E158="","",IF(AND($E158="Active",$F158="Green"),"Yes","No"))</f>
        <v/>
      </c>
      <c r="P158" s="11" t="n"/>
      <c r="Q158">
        <f>IF($I158="","",ROUND(TODAY()-$I158,0))</f>
        <v/>
      </c>
      <c r="R158">
        <f>IF($B158="",0,IF(OR(AND(ISNUMBER($J158),$J158&lt;=TODAY(),$E158&lt;&gt;"Dead Lead"),AND($D158="",$E158&lt;&gt;"",$E158&lt;&gt;"Dead Lead",OR($I158="",$I158&lt;TODAY()))),1,0))</f>
        <v/>
      </c>
      <c r="S158">
        <f>IF($R158=1,SUMPRODUCT(($R$4:$R$203=1)*(($Q$4:$Q$203&gt;$Q158)+(($Q$4:$Q$203=$Q158)*(ROW($Q$4:$Q$203)&lt;ROW($Q158)))))+1,"")</f>
        <v/>
      </c>
      <c r="T158" s="11">
        <f>IF($B158="","",0)</f>
        <v/>
      </c>
      <c r="U158">
        <f>IF($B158="",0,IF($E158="Dead Lead",1,0))</f>
        <v/>
      </c>
      <c r="V158">
        <f>IF($U158=1,SUMPRODUCT(($U$4:$U$203=1)*(($J$4:$J$203&lt;$J158)+(($J$4:$J$203=$J158)*(ROW($J$4:$J$203)&lt;ROW($J158)))))+1,"")</f>
        <v/>
      </c>
      <c r="W158" s="12">
        <f>IF($B158="","","")</f>
        <v/>
      </c>
      <c r="X158" s="11">
        <f>IF($B158="","",0)</f>
        <v/>
      </c>
      <c r="Y158">
        <f>IF($B158="",0,IF(AND($R158=0,$E158&lt;&gt;"Dead Lead",ISNUMBER($J158),$J158&lt;=TODAY()+7),1,0))</f>
        <v/>
      </c>
      <c r="Z158">
        <f>IF($Y158=1,SUMPRODUCT(($Y$4:$Y$203=1)*(($J$4:$J$203&lt;$J158)+(($J$4:$J$203=$J158)*(ROW($J$4:$J$203)&lt;ROW($J158)))))+1,"")</f>
        <v/>
      </c>
      <c r="AA158" s="12">
        <f>IF($B158="","","")</f>
        <v/>
      </c>
      <c r="AB158" s="11">
        <f>IF($B158="","",0)</f>
        <v/>
      </c>
      <c r="AC158" s="11" t="n"/>
      <c r="AD158">
        <f>IF($E158="","",IF($E158="VIP Transferred",IF($AA158="","",IF(N($AB158)&gt;=3,"N/A - Closed",$AA158+CHOOSE(N($AB158)+1,1,2,3))),IF($I158="","",IF(VLOOKUP($E158,Lists!$C$2:$E$20,3,FALSE)="CLOSED","N/A - Closed",$I158+VLOOKUP($E158,Lists!$C$2:$E$20,3,FALSE)))))</f>
        <v/>
      </c>
      <c r="AE158">
        <f>IF(AND($AC158="Yes",$W158&lt;&gt;"",N($X158)&lt;3),$W158+CHOOSE(N($X158)+1,1,7,14),"")</f>
        <v/>
      </c>
      <c r="AF158" s="12">
        <f>IF($B158="","","")</f>
        <v/>
      </c>
    </row>
    <row r="159">
      <c r="A159" s="11">
        <f>IF($B159="","","YU-"&amp;TEXT(ROW()-3,"0000"))</f>
        <v/>
      </c>
      <c r="B159" s="11" t="n"/>
      <c r="C159" s="11" t="inlineStr">
        <is>
          <t>Discord</t>
        </is>
      </c>
      <c r="D159" s="11" t="n"/>
      <c r="E159" s="11" t="n"/>
      <c r="F159" s="11">
        <f>IF($E159="","",IF($E159="Dead Lead","Black",IF(IF(ISNUMBER($J159),TODAY()-$J159&gt;3,FALSE),"Red",IF($E159="Reactivation Queue","Red",IF(OR($E159="First Deposit",$E159="Active"),"Green","Yellow")))))</f>
        <v/>
      </c>
      <c r="G159" s="11">
        <f>IF($F159="","",IF($F159="Red",1,IF($F159="Yellow",2,IF($F159="Green",3,4))))</f>
        <v/>
      </c>
      <c r="H159" s="14" t="n"/>
      <c r="I159" s="14" t="n"/>
      <c r="J159" s="12">
        <f>IF($E159="","",IF(AND(ISNUMBER($AD159),ISNUMBER($AE159)),MIN($AD159,$AE159),IF(ISNUMBER($AE159),$AE159,$AD159)))</f>
        <v/>
      </c>
      <c r="K159" s="11">
        <f>IF($E159="","",IF($E159="VIP Transferred",IF(N($AB159)&gt;=3,"Should be Dead Lead (3 attempts, still no deposit) - will auto-update","Day "&amp;CHOOSE(N($AB159)+1,1,2,3)&amp;" URGENT VIP check-in - help them finish KYC and lock in first deposit"),IF(AND($D159="",$E159&lt;&gt;"Dead Lead"),IF(N($T159)&gt;=3,"READY FOR DEAD LEAD (3 attempts, still no sign-up)","GET ROOBET SIGN-UP - "&amp;IFERROR(VLOOKUP($E159,Lists!$C$2:$E$20,2,FALSE),"")),IFERROR(VLOOKUP($E159,Lists!$C$2:$E$20,2,FALSE),""))))&amp;IF($AC159="Yes",IF(N($X159)&gt;=3," | VIP Team checkpoints complete - no more automatic check-ins"," | Day "&amp;CHOOSE(N($X159)+1,1,7,14)&amp;" VIP Team check-in - confirm active/depositing"),"")</f>
        <v/>
      </c>
      <c r="L159" s="11" t="n"/>
      <c r="M159" s="11" t="n"/>
      <c r="N159" s="15" t="n"/>
      <c r="O159" s="11">
        <f>IF($E159="","",IF(AND($E159="Active",$F159="Green"),"Yes","No"))</f>
        <v/>
      </c>
      <c r="P159" s="11" t="n"/>
      <c r="Q159">
        <f>IF($I159="","",ROUND(TODAY()-$I159,0))</f>
        <v/>
      </c>
      <c r="R159">
        <f>IF($B159="",0,IF(OR(AND(ISNUMBER($J159),$J159&lt;=TODAY(),$E159&lt;&gt;"Dead Lead"),AND($D159="",$E159&lt;&gt;"",$E159&lt;&gt;"Dead Lead",OR($I159="",$I159&lt;TODAY()))),1,0))</f>
        <v/>
      </c>
      <c r="S159">
        <f>IF($R159=1,SUMPRODUCT(($R$4:$R$203=1)*(($Q$4:$Q$203&gt;$Q159)+(($Q$4:$Q$203=$Q159)*(ROW($Q$4:$Q$203)&lt;ROW($Q159)))))+1,"")</f>
        <v/>
      </c>
      <c r="T159" s="11">
        <f>IF($B159="","",0)</f>
        <v/>
      </c>
      <c r="U159">
        <f>IF($B159="",0,IF($E159="Dead Lead",1,0))</f>
        <v/>
      </c>
      <c r="V159">
        <f>IF($U159=1,SUMPRODUCT(($U$4:$U$203=1)*(($J$4:$J$203&lt;$J159)+(($J$4:$J$203=$J159)*(ROW($J$4:$J$203)&lt;ROW($J159)))))+1,"")</f>
        <v/>
      </c>
      <c r="W159" s="12">
        <f>IF($B159="","","")</f>
        <v/>
      </c>
      <c r="X159" s="11">
        <f>IF($B159="","",0)</f>
        <v/>
      </c>
      <c r="Y159">
        <f>IF($B159="",0,IF(AND($R159=0,$E159&lt;&gt;"Dead Lead",ISNUMBER($J159),$J159&lt;=TODAY()+7),1,0))</f>
        <v/>
      </c>
      <c r="Z159">
        <f>IF($Y159=1,SUMPRODUCT(($Y$4:$Y$203=1)*(($J$4:$J$203&lt;$J159)+(($J$4:$J$203=$J159)*(ROW($J$4:$J$203)&lt;ROW($J159)))))+1,"")</f>
        <v/>
      </c>
      <c r="AA159" s="12">
        <f>IF($B159="","","")</f>
        <v/>
      </c>
      <c r="AB159" s="11">
        <f>IF($B159="","",0)</f>
        <v/>
      </c>
      <c r="AC159" s="11" t="n"/>
      <c r="AD159">
        <f>IF($E159="","",IF($E159="VIP Transferred",IF($AA159="","",IF(N($AB159)&gt;=3,"N/A - Closed",$AA159+CHOOSE(N($AB159)+1,1,2,3))),IF($I159="","",IF(VLOOKUP($E159,Lists!$C$2:$E$20,3,FALSE)="CLOSED","N/A - Closed",$I159+VLOOKUP($E159,Lists!$C$2:$E$20,3,FALSE)))))</f>
        <v/>
      </c>
      <c r="AE159">
        <f>IF(AND($AC159="Yes",$W159&lt;&gt;"",N($X159)&lt;3),$W159+CHOOSE(N($X159)+1,1,7,14),"")</f>
        <v/>
      </c>
      <c r="AF159" s="12">
        <f>IF($B159="","","")</f>
        <v/>
      </c>
    </row>
    <row r="160">
      <c r="A160" s="11">
        <f>IF($B160="","","YU-"&amp;TEXT(ROW()-3,"0000"))</f>
        <v/>
      </c>
      <c r="B160" s="11" t="n"/>
      <c r="C160" s="11" t="inlineStr">
        <is>
          <t>Discord</t>
        </is>
      </c>
      <c r="D160" s="11" t="n"/>
      <c r="E160" s="11" t="n"/>
      <c r="F160" s="11">
        <f>IF($E160="","",IF($E160="Dead Lead","Black",IF(IF(ISNUMBER($J160),TODAY()-$J160&gt;3,FALSE),"Red",IF($E160="Reactivation Queue","Red",IF(OR($E160="First Deposit",$E160="Active"),"Green","Yellow")))))</f>
        <v/>
      </c>
      <c r="G160" s="11">
        <f>IF($F160="","",IF($F160="Red",1,IF($F160="Yellow",2,IF($F160="Green",3,4))))</f>
        <v/>
      </c>
      <c r="H160" s="14" t="n"/>
      <c r="I160" s="14" t="n"/>
      <c r="J160" s="12">
        <f>IF($E160="","",IF(AND(ISNUMBER($AD160),ISNUMBER($AE160)),MIN($AD160,$AE160),IF(ISNUMBER($AE160),$AE160,$AD160)))</f>
        <v/>
      </c>
      <c r="K160" s="11">
        <f>IF($E160="","",IF($E160="VIP Transferred",IF(N($AB160)&gt;=3,"Should be Dead Lead (3 attempts, still no deposit) - will auto-update","Day "&amp;CHOOSE(N($AB160)+1,1,2,3)&amp;" URGENT VIP check-in - help them finish KYC and lock in first deposit"),IF(AND($D160="",$E160&lt;&gt;"Dead Lead"),IF(N($T160)&gt;=3,"READY FOR DEAD LEAD (3 attempts, still no sign-up)","GET ROOBET SIGN-UP - "&amp;IFERROR(VLOOKUP($E160,Lists!$C$2:$E$20,2,FALSE),"")),IFERROR(VLOOKUP($E160,Lists!$C$2:$E$20,2,FALSE),""))))&amp;IF($AC160="Yes",IF(N($X160)&gt;=3," | VIP Team checkpoints complete - no more automatic check-ins"," | Day "&amp;CHOOSE(N($X160)+1,1,7,14)&amp;" VIP Team check-in - confirm active/depositing"),"")</f>
        <v/>
      </c>
      <c r="L160" s="11" t="n"/>
      <c r="M160" s="11" t="n"/>
      <c r="N160" s="15" t="n"/>
      <c r="O160" s="11">
        <f>IF($E160="","",IF(AND($E160="Active",$F160="Green"),"Yes","No"))</f>
        <v/>
      </c>
      <c r="P160" s="11" t="n"/>
      <c r="Q160">
        <f>IF($I160="","",ROUND(TODAY()-$I160,0))</f>
        <v/>
      </c>
      <c r="R160">
        <f>IF($B160="",0,IF(OR(AND(ISNUMBER($J160),$J160&lt;=TODAY(),$E160&lt;&gt;"Dead Lead"),AND($D160="",$E160&lt;&gt;"",$E160&lt;&gt;"Dead Lead",OR($I160="",$I160&lt;TODAY()))),1,0))</f>
        <v/>
      </c>
      <c r="S160">
        <f>IF($R160=1,SUMPRODUCT(($R$4:$R$203=1)*(($Q$4:$Q$203&gt;$Q160)+(($Q$4:$Q$203=$Q160)*(ROW($Q$4:$Q$203)&lt;ROW($Q160)))))+1,"")</f>
        <v/>
      </c>
      <c r="T160" s="11">
        <f>IF($B160="","",0)</f>
        <v/>
      </c>
      <c r="U160">
        <f>IF($B160="",0,IF($E160="Dead Lead",1,0))</f>
        <v/>
      </c>
      <c r="V160">
        <f>IF($U160=1,SUMPRODUCT(($U$4:$U$203=1)*(($J$4:$J$203&lt;$J160)+(($J$4:$J$203=$J160)*(ROW($J$4:$J$203)&lt;ROW($J160)))))+1,"")</f>
        <v/>
      </c>
      <c r="W160" s="12">
        <f>IF($B160="","","")</f>
        <v/>
      </c>
      <c r="X160" s="11">
        <f>IF($B160="","",0)</f>
        <v/>
      </c>
      <c r="Y160">
        <f>IF($B160="",0,IF(AND($R160=0,$E160&lt;&gt;"Dead Lead",ISNUMBER($J160),$J160&lt;=TODAY()+7),1,0))</f>
        <v/>
      </c>
      <c r="Z160">
        <f>IF($Y160=1,SUMPRODUCT(($Y$4:$Y$203=1)*(($J$4:$J$203&lt;$J160)+(($J$4:$J$203=$J160)*(ROW($J$4:$J$203)&lt;ROW($J160)))))+1,"")</f>
        <v/>
      </c>
      <c r="AA160" s="12">
        <f>IF($B160="","","")</f>
        <v/>
      </c>
      <c r="AB160" s="11">
        <f>IF($B160="","",0)</f>
        <v/>
      </c>
      <c r="AC160" s="11" t="n"/>
      <c r="AD160">
        <f>IF($E160="","",IF($E160="VIP Transferred",IF($AA160="","",IF(N($AB160)&gt;=3,"N/A - Closed",$AA160+CHOOSE(N($AB160)+1,1,2,3))),IF($I160="","",IF(VLOOKUP($E160,Lists!$C$2:$E$20,3,FALSE)="CLOSED","N/A - Closed",$I160+VLOOKUP($E160,Lists!$C$2:$E$20,3,FALSE)))))</f>
        <v/>
      </c>
      <c r="AE160">
        <f>IF(AND($AC160="Yes",$W160&lt;&gt;"",N($X160)&lt;3),$W160+CHOOSE(N($X160)+1,1,7,14),"")</f>
        <v/>
      </c>
      <c r="AF160" s="12">
        <f>IF($B160="","","")</f>
        <v/>
      </c>
    </row>
    <row r="161">
      <c r="A161" s="11">
        <f>IF($B161="","","YU-"&amp;TEXT(ROW()-3,"0000"))</f>
        <v/>
      </c>
      <c r="B161" s="11" t="n"/>
      <c r="C161" s="11" t="inlineStr">
        <is>
          <t>Discord</t>
        </is>
      </c>
      <c r="D161" s="11" t="n"/>
      <c r="E161" s="11" t="n"/>
      <c r="F161" s="11">
        <f>IF($E161="","",IF($E161="Dead Lead","Black",IF(IF(ISNUMBER($J161),TODAY()-$J161&gt;3,FALSE),"Red",IF($E161="Reactivation Queue","Red",IF(OR($E161="First Deposit",$E161="Active"),"Green","Yellow")))))</f>
        <v/>
      </c>
      <c r="G161" s="11">
        <f>IF($F161="","",IF($F161="Red",1,IF($F161="Yellow",2,IF($F161="Green",3,4))))</f>
        <v/>
      </c>
      <c r="H161" s="14" t="n"/>
      <c r="I161" s="14" t="n"/>
      <c r="J161" s="12">
        <f>IF($E161="","",IF(AND(ISNUMBER($AD161),ISNUMBER($AE161)),MIN($AD161,$AE161),IF(ISNUMBER($AE161),$AE161,$AD161)))</f>
        <v/>
      </c>
      <c r="K161" s="11">
        <f>IF($E161="","",IF($E161="VIP Transferred",IF(N($AB161)&gt;=3,"Should be Dead Lead (3 attempts, still no deposit) - will auto-update","Day "&amp;CHOOSE(N($AB161)+1,1,2,3)&amp;" URGENT VIP check-in - help them finish KYC and lock in first deposit"),IF(AND($D161="",$E161&lt;&gt;"Dead Lead"),IF(N($T161)&gt;=3,"READY FOR DEAD LEAD (3 attempts, still no sign-up)","GET ROOBET SIGN-UP - "&amp;IFERROR(VLOOKUP($E161,Lists!$C$2:$E$20,2,FALSE),"")),IFERROR(VLOOKUP($E161,Lists!$C$2:$E$20,2,FALSE),""))))&amp;IF($AC161="Yes",IF(N($X161)&gt;=3," | VIP Team checkpoints complete - no more automatic check-ins"," | Day "&amp;CHOOSE(N($X161)+1,1,7,14)&amp;" VIP Team check-in - confirm active/depositing"),"")</f>
        <v/>
      </c>
      <c r="L161" s="11" t="n"/>
      <c r="M161" s="11" t="n"/>
      <c r="N161" s="15" t="n"/>
      <c r="O161" s="11">
        <f>IF($E161="","",IF(AND($E161="Active",$F161="Green"),"Yes","No"))</f>
        <v/>
      </c>
      <c r="P161" s="11" t="n"/>
      <c r="Q161">
        <f>IF($I161="","",ROUND(TODAY()-$I161,0))</f>
        <v/>
      </c>
      <c r="R161">
        <f>IF($B161="",0,IF(OR(AND(ISNUMBER($J161),$J161&lt;=TODAY(),$E161&lt;&gt;"Dead Lead"),AND($D161="",$E161&lt;&gt;"",$E161&lt;&gt;"Dead Lead",OR($I161="",$I161&lt;TODAY()))),1,0))</f>
        <v/>
      </c>
      <c r="S161">
        <f>IF($R161=1,SUMPRODUCT(($R$4:$R$203=1)*(($Q$4:$Q$203&gt;$Q161)+(($Q$4:$Q$203=$Q161)*(ROW($Q$4:$Q$203)&lt;ROW($Q161)))))+1,"")</f>
        <v/>
      </c>
      <c r="T161" s="11">
        <f>IF($B161="","",0)</f>
        <v/>
      </c>
      <c r="U161">
        <f>IF($B161="",0,IF($E161="Dead Lead",1,0))</f>
        <v/>
      </c>
      <c r="V161">
        <f>IF($U161=1,SUMPRODUCT(($U$4:$U$203=1)*(($J$4:$J$203&lt;$J161)+(($J$4:$J$203=$J161)*(ROW($J$4:$J$203)&lt;ROW($J161)))))+1,"")</f>
        <v/>
      </c>
      <c r="W161" s="12">
        <f>IF($B161="","","")</f>
        <v/>
      </c>
      <c r="X161" s="11">
        <f>IF($B161="","",0)</f>
        <v/>
      </c>
      <c r="Y161">
        <f>IF($B161="",0,IF(AND($R161=0,$E161&lt;&gt;"Dead Lead",ISNUMBER($J161),$J161&lt;=TODAY()+7),1,0))</f>
        <v/>
      </c>
      <c r="Z161">
        <f>IF($Y161=1,SUMPRODUCT(($Y$4:$Y$203=1)*(($J$4:$J$203&lt;$J161)+(($J$4:$J$203=$J161)*(ROW($J$4:$J$203)&lt;ROW($J161)))))+1,"")</f>
        <v/>
      </c>
      <c r="AA161" s="12">
        <f>IF($B161="","","")</f>
        <v/>
      </c>
      <c r="AB161" s="11">
        <f>IF($B161="","",0)</f>
        <v/>
      </c>
      <c r="AC161" s="11" t="n"/>
      <c r="AD161">
        <f>IF($E161="","",IF($E161="VIP Transferred",IF($AA161="","",IF(N($AB161)&gt;=3,"N/A - Closed",$AA161+CHOOSE(N($AB161)+1,1,2,3))),IF($I161="","",IF(VLOOKUP($E161,Lists!$C$2:$E$20,3,FALSE)="CLOSED","N/A - Closed",$I161+VLOOKUP($E161,Lists!$C$2:$E$20,3,FALSE)))))</f>
        <v/>
      </c>
      <c r="AE161">
        <f>IF(AND($AC161="Yes",$W161&lt;&gt;"",N($X161)&lt;3),$W161+CHOOSE(N($X161)+1,1,7,14),"")</f>
        <v/>
      </c>
      <c r="AF161" s="12">
        <f>IF($B161="","","")</f>
        <v/>
      </c>
    </row>
    <row r="162">
      <c r="A162" s="11">
        <f>IF($B162="","","YU-"&amp;TEXT(ROW()-3,"0000"))</f>
        <v/>
      </c>
      <c r="B162" s="11" t="n"/>
      <c r="C162" s="11" t="inlineStr">
        <is>
          <t>Discord</t>
        </is>
      </c>
      <c r="D162" s="11" t="n"/>
      <c r="E162" s="11" t="n"/>
      <c r="F162" s="11">
        <f>IF($E162="","",IF($E162="Dead Lead","Black",IF(IF(ISNUMBER($J162),TODAY()-$J162&gt;3,FALSE),"Red",IF($E162="Reactivation Queue","Red",IF(OR($E162="First Deposit",$E162="Active"),"Green","Yellow")))))</f>
        <v/>
      </c>
      <c r="G162" s="11">
        <f>IF($F162="","",IF($F162="Red",1,IF($F162="Yellow",2,IF($F162="Green",3,4))))</f>
        <v/>
      </c>
      <c r="H162" s="14" t="n"/>
      <c r="I162" s="14" t="n"/>
      <c r="J162" s="12">
        <f>IF($E162="","",IF(AND(ISNUMBER($AD162),ISNUMBER($AE162)),MIN($AD162,$AE162),IF(ISNUMBER($AE162),$AE162,$AD162)))</f>
        <v/>
      </c>
      <c r="K162" s="11">
        <f>IF($E162="","",IF($E162="VIP Transferred",IF(N($AB162)&gt;=3,"Should be Dead Lead (3 attempts, still no deposit) - will auto-update","Day "&amp;CHOOSE(N($AB162)+1,1,2,3)&amp;" URGENT VIP check-in - help them finish KYC and lock in first deposit"),IF(AND($D162="",$E162&lt;&gt;"Dead Lead"),IF(N($T162)&gt;=3,"READY FOR DEAD LEAD (3 attempts, still no sign-up)","GET ROOBET SIGN-UP - "&amp;IFERROR(VLOOKUP($E162,Lists!$C$2:$E$20,2,FALSE),"")),IFERROR(VLOOKUP($E162,Lists!$C$2:$E$20,2,FALSE),""))))&amp;IF($AC162="Yes",IF(N($X162)&gt;=3," | VIP Team checkpoints complete - no more automatic check-ins"," | Day "&amp;CHOOSE(N($X162)+1,1,7,14)&amp;" VIP Team check-in - confirm active/depositing"),"")</f>
        <v/>
      </c>
      <c r="L162" s="11" t="n"/>
      <c r="M162" s="11" t="n"/>
      <c r="N162" s="15" t="n"/>
      <c r="O162" s="11">
        <f>IF($E162="","",IF(AND($E162="Active",$F162="Green"),"Yes","No"))</f>
        <v/>
      </c>
      <c r="P162" s="11" t="n"/>
      <c r="Q162">
        <f>IF($I162="","",ROUND(TODAY()-$I162,0))</f>
        <v/>
      </c>
      <c r="R162">
        <f>IF($B162="",0,IF(OR(AND(ISNUMBER($J162),$J162&lt;=TODAY(),$E162&lt;&gt;"Dead Lead"),AND($D162="",$E162&lt;&gt;"",$E162&lt;&gt;"Dead Lead",OR($I162="",$I162&lt;TODAY()))),1,0))</f>
        <v/>
      </c>
      <c r="S162">
        <f>IF($R162=1,SUMPRODUCT(($R$4:$R$203=1)*(($Q$4:$Q$203&gt;$Q162)+(($Q$4:$Q$203=$Q162)*(ROW($Q$4:$Q$203)&lt;ROW($Q162)))))+1,"")</f>
        <v/>
      </c>
      <c r="T162" s="11">
        <f>IF($B162="","",0)</f>
        <v/>
      </c>
      <c r="U162">
        <f>IF($B162="",0,IF($E162="Dead Lead",1,0))</f>
        <v/>
      </c>
      <c r="V162">
        <f>IF($U162=1,SUMPRODUCT(($U$4:$U$203=1)*(($J$4:$J$203&lt;$J162)+(($J$4:$J$203=$J162)*(ROW($J$4:$J$203)&lt;ROW($J162)))))+1,"")</f>
        <v/>
      </c>
      <c r="W162" s="12">
        <f>IF($B162="","","")</f>
        <v/>
      </c>
      <c r="X162" s="11">
        <f>IF($B162="","",0)</f>
        <v/>
      </c>
      <c r="Y162">
        <f>IF($B162="",0,IF(AND($R162=0,$E162&lt;&gt;"Dead Lead",ISNUMBER($J162),$J162&lt;=TODAY()+7),1,0))</f>
        <v/>
      </c>
      <c r="Z162">
        <f>IF($Y162=1,SUMPRODUCT(($Y$4:$Y$203=1)*(($J$4:$J$203&lt;$J162)+(($J$4:$J$203=$J162)*(ROW($J$4:$J$203)&lt;ROW($J162)))))+1,"")</f>
        <v/>
      </c>
      <c r="AA162" s="12">
        <f>IF($B162="","","")</f>
        <v/>
      </c>
      <c r="AB162" s="11">
        <f>IF($B162="","",0)</f>
        <v/>
      </c>
      <c r="AC162" s="11" t="n"/>
      <c r="AD162">
        <f>IF($E162="","",IF($E162="VIP Transferred",IF($AA162="","",IF(N($AB162)&gt;=3,"N/A - Closed",$AA162+CHOOSE(N($AB162)+1,1,2,3))),IF($I162="","",IF(VLOOKUP($E162,Lists!$C$2:$E$20,3,FALSE)="CLOSED","N/A - Closed",$I162+VLOOKUP($E162,Lists!$C$2:$E$20,3,FALSE)))))</f>
        <v/>
      </c>
      <c r="AE162">
        <f>IF(AND($AC162="Yes",$W162&lt;&gt;"",N($X162)&lt;3),$W162+CHOOSE(N($X162)+1,1,7,14),"")</f>
        <v/>
      </c>
      <c r="AF162" s="12">
        <f>IF($B162="","","")</f>
        <v/>
      </c>
    </row>
    <row r="163">
      <c r="A163" s="11">
        <f>IF($B163="","","YU-"&amp;TEXT(ROW()-3,"0000"))</f>
        <v/>
      </c>
      <c r="B163" s="11" t="n"/>
      <c r="C163" s="11" t="inlineStr">
        <is>
          <t>Discord</t>
        </is>
      </c>
      <c r="D163" s="11" t="n"/>
      <c r="E163" s="11" t="n"/>
      <c r="F163" s="11">
        <f>IF($E163="","",IF($E163="Dead Lead","Black",IF(IF(ISNUMBER($J163),TODAY()-$J163&gt;3,FALSE),"Red",IF($E163="Reactivation Queue","Red",IF(OR($E163="First Deposit",$E163="Active"),"Green","Yellow")))))</f>
        <v/>
      </c>
      <c r="G163" s="11">
        <f>IF($F163="","",IF($F163="Red",1,IF($F163="Yellow",2,IF($F163="Green",3,4))))</f>
        <v/>
      </c>
      <c r="H163" s="14" t="n"/>
      <c r="I163" s="14" t="n"/>
      <c r="J163" s="12">
        <f>IF($E163="","",IF(AND(ISNUMBER($AD163),ISNUMBER($AE163)),MIN($AD163,$AE163),IF(ISNUMBER($AE163),$AE163,$AD163)))</f>
        <v/>
      </c>
      <c r="K163" s="11">
        <f>IF($E163="","",IF($E163="VIP Transferred",IF(N($AB163)&gt;=3,"Should be Dead Lead (3 attempts, still no deposit) - will auto-update","Day "&amp;CHOOSE(N($AB163)+1,1,2,3)&amp;" URGENT VIP check-in - help them finish KYC and lock in first deposit"),IF(AND($D163="",$E163&lt;&gt;"Dead Lead"),IF(N($T163)&gt;=3,"READY FOR DEAD LEAD (3 attempts, still no sign-up)","GET ROOBET SIGN-UP - "&amp;IFERROR(VLOOKUP($E163,Lists!$C$2:$E$20,2,FALSE),"")),IFERROR(VLOOKUP($E163,Lists!$C$2:$E$20,2,FALSE),""))))&amp;IF($AC163="Yes",IF(N($X163)&gt;=3," | VIP Team checkpoints complete - no more automatic check-ins"," | Day "&amp;CHOOSE(N($X163)+1,1,7,14)&amp;" VIP Team check-in - confirm active/depositing"),"")</f>
        <v/>
      </c>
      <c r="L163" s="11" t="n"/>
      <c r="M163" s="11" t="n"/>
      <c r="N163" s="15" t="n"/>
      <c r="O163" s="11">
        <f>IF($E163="","",IF(AND($E163="Active",$F163="Green"),"Yes","No"))</f>
        <v/>
      </c>
      <c r="P163" s="11" t="n"/>
      <c r="Q163">
        <f>IF($I163="","",ROUND(TODAY()-$I163,0))</f>
        <v/>
      </c>
      <c r="R163">
        <f>IF($B163="",0,IF(OR(AND(ISNUMBER($J163),$J163&lt;=TODAY(),$E163&lt;&gt;"Dead Lead"),AND($D163="",$E163&lt;&gt;"",$E163&lt;&gt;"Dead Lead",OR($I163="",$I163&lt;TODAY()))),1,0))</f>
        <v/>
      </c>
      <c r="S163">
        <f>IF($R163=1,SUMPRODUCT(($R$4:$R$203=1)*(($Q$4:$Q$203&gt;$Q163)+(($Q$4:$Q$203=$Q163)*(ROW($Q$4:$Q$203)&lt;ROW($Q163)))))+1,"")</f>
        <v/>
      </c>
      <c r="T163" s="11">
        <f>IF($B163="","",0)</f>
        <v/>
      </c>
      <c r="U163">
        <f>IF($B163="",0,IF($E163="Dead Lead",1,0))</f>
        <v/>
      </c>
      <c r="V163">
        <f>IF($U163=1,SUMPRODUCT(($U$4:$U$203=1)*(($J$4:$J$203&lt;$J163)+(($J$4:$J$203=$J163)*(ROW($J$4:$J$203)&lt;ROW($J163)))))+1,"")</f>
        <v/>
      </c>
      <c r="W163" s="12">
        <f>IF($B163="","","")</f>
        <v/>
      </c>
      <c r="X163" s="11">
        <f>IF($B163="","",0)</f>
        <v/>
      </c>
      <c r="Y163">
        <f>IF($B163="",0,IF(AND($R163=0,$E163&lt;&gt;"Dead Lead",ISNUMBER($J163),$J163&lt;=TODAY()+7),1,0))</f>
        <v/>
      </c>
      <c r="Z163">
        <f>IF($Y163=1,SUMPRODUCT(($Y$4:$Y$203=1)*(($J$4:$J$203&lt;$J163)+(($J$4:$J$203=$J163)*(ROW($J$4:$J$203)&lt;ROW($J163)))))+1,"")</f>
        <v/>
      </c>
      <c r="AA163" s="12">
        <f>IF($B163="","","")</f>
        <v/>
      </c>
      <c r="AB163" s="11">
        <f>IF($B163="","",0)</f>
        <v/>
      </c>
      <c r="AC163" s="11" t="n"/>
      <c r="AD163">
        <f>IF($E163="","",IF($E163="VIP Transferred",IF($AA163="","",IF(N($AB163)&gt;=3,"N/A - Closed",$AA163+CHOOSE(N($AB163)+1,1,2,3))),IF($I163="","",IF(VLOOKUP($E163,Lists!$C$2:$E$20,3,FALSE)="CLOSED","N/A - Closed",$I163+VLOOKUP($E163,Lists!$C$2:$E$20,3,FALSE)))))</f>
        <v/>
      </c>
      <c r="AE163">
        <f>IF(AND($AC163="Yes",$W163&lt;&gt;"",N($X163)&lt;3),$W163+CHOOSE(N($X163)+1,1,7,14),"")</f>
        <v/>
      </c>
      <c r="AF163" s="12">
        <f>IF($B163="","","")</f>
        <v/>
      </c>
    </row>
    <row r="164">
      <c r="A164" s="11">
        <f>IF($B164="","","YU-"&amp;TEXT(ROW()-3,"0000"))</f>
        <v/>
      </c>
      <c r="B164" s="11" t="n"/>
      <c r="C164" s="11" t="inlineStr">
        <is>
          <t>Discord</t>
        </is>
      </c>
      <c r="D164" s="11" t="n"/>
      <c r="E164" s="11" t="n"/>
      <c r="F164" s="11">
        <f>IF($E164="","",IF($E164="Dead Lead","Black",IF(IF(ISNUMBER($J164),TODAY()-$J164&gt;3,FALSE),"Red",IF($E164="Reactivation Queue","Red",IF(OR($E164="First Deposit",$E164="Active"),"Green","Yellow")))))</f>
        <v/>
      </c>
      <c r="G164" s="11">
        <f>IF($F164="","",IF($F164="Red",1,IF($F164="Yellow",2,IF($F164="Green",3,4))))</f>
        <v/>
      </c>
      <c r="H164" s="14" t="n"/>
      <c r="I164" s="14" t="n"/>
      <c r="J164" s="12">
        <f>IF($E164="","",IF(AND(ISNUMBER($AD164),ISNUMBER($AE164)),MIN($AD164,$AE164),IF(ISNUMBER($AE164),$AE164,$AD164)))</f>
        <v/>
      </c>
      <c r="K164" s="11">
        <f>IF($E164="","",IF($E164="VIP Transferred",IF(N($AB164)&gt;=3,"Should be Dead Lead (3 attempts, still no deposit) - will auto-update","Day "&amp;CHOOSE(N($AB164)+1,1,2,3)&amp;" URGENT VIP check-in - help them finish KYC and lock in first deposit"),IF(AND($D164="",$E164&lt;&gt;"Dead Lead"),IF(N($T164)&gt;=3,"READY FOR DEAD LEAD (3 attempts, still no sign-up)","GET ROOBET SIGN-UP - "&amp;IFERROR(VLOOKUP($E164,Lists!$C$2:$E$20,2,FALSE),"")),IFERROR(VLOOKUP($E164,Lists!$C$2:$E$20,2,FALSE),""))))&amp;IF($AC164="Yes",IF(N($X164)&gt;=3," | VIP Team checkpoints complete - no more automatic check-ins"," | Day "&amp;CHOOSE(N($X164)+1,1,7,14)&amp;" VIP Team check-in - confirm active/depositing"),"")</f>
        <v/>
      </c>
      <c r="L164" s="11" t="n"/>
      <c r="M164" s="11" t="n"/>
      <c r="N164" s="15" t="n"/>
      <c r="O164" s="11">
        <f>IF($E164="","",IF(AND($E164="Active",$F164="Green"),"Yes","No"))</f>
        <v/>
      </c>
      <c r="P164" s="11" t="n"/>
      <c r="Q164">
        <f>IF($I164="","",ROUND(TODAY()-$I164,0))</f>
        <v/>
      </c>
      <c r="R164">
        <f>IF($B164="",0,IF(OR(AND(ISNUMBER($J164),$J164&lt;=TODAY(),$E164&lt;&gt;"Dead Lead"),AND($D164="",$E164&lt;&gt;"",$E164&lt;&gt;"Dead Lead",OR($I164="",$I164&lt;TODAY()))),1,0))</f>
        <v/>
      </c>
      <c r="S164">
        <f>IF($R164=1,SUMPRODUCT(($R$4:$R$203=1)*(($Q$4:$Q$203&gt;$Q164)+(($Q$4:$Q$203=$Q164)*(ROW($Q$4:$Q$203)&lt;ROW($Q164)))))+1,"")</f>
        <v/>
      </c>
      <c r="T164" s="11">
        <f>IF($B164="","",0)</f>
        <v/>
      </c>
      <c r="U164">
        <f>IF($B164="",0,IF($E164="Dead Lead",1,0))</f>
        <v/>
      </c>
      <c r="V164">
        <f>IF($U164=1,SUMPRODUCT(($U$4:$U$203=1)*(($J$4:$J$203&lt;$J164)+(($J$4:$J$203=$J164)*(ROW($J$4:$J$203)&lt;ROW($J164)))))+1,"")</f>
        <v/>
      </c>
      <c r="W164" s="12">
        <f>IF($B164="","","")</f>
        <v/>
      </c>
      <c r="X164" s="11">
        <f>IF($B164="","",0)</f>
        <v/>
      </c>
      <c r="Y164">
        <f>IF($B164="",0,IF(AND($R164=0,$E164&lt;&gt;"Dead Lead",ISNUMBER($J164),$J164&lt;=TODAY()+7),1,0))</f>
        <v/>
      </c>
      <c r="Z164">
        <f>IF($Y164=1,SUMPRODUCT(($Y$4:$Y$203=1)*(($J$4:$J$203&lt;$J164)+(($J$4:$J$203=$J164)*(ROW($J$4:$J$203)&lt;ROW($J164)))))+1,"")</f>
        <v/>
      </c>
      <c r="AA164" s="12">
        <f>IF($B164="","","")</f>
        <v/>
      </c>
      <c r="AB164" s="11">
        <f>IF($B164="","",0)</f>
        <v/>
      </c>
      <c r="AC164" s="11" t="n"/>
      <c r="AD164">
        <f>IF($E164="","",IF($E164="VIP Transferred",IF($AA164="","",IF(N($AB164)&gt;=3,"N/A - Closed",$AA164+CHOOSE(N($AB164)+1,1,2,3))),IF($I164="","",IF(VLOOKUP($E164,Lists!$C$2:$E$20,3,FALSE)="CLOSED","N/A - Closed",$I164+VLOOKUP($E164,Lists!$C$2:$E$20,3,FALSE)))))</f>
        <v/>
      </c>
      <c r="AE164">
        <f>IF(AND($AC164="Yes",$W164&lt;&gt;"",N($X164)&lt;3),$W164+CHOOSE(N($X164)+1,1,7,14),"")</f>
        <v/>
      </c>
      <c r="AF164" s="12">
        <f>IF($B164="","","")</f>
        <v/>
      </c>
    </row>
    <row r="165">
      <c r="A165" s="11">
        <f>IF($B165="","","YU-"&amp;TEXT(ROW()-3,"0000"))</f>
        <v/>
      </c>
      <c r="B165" s="11" t="n"/>
      <c r="C165" s="11" t="inlineStr">
        <is>
          <t>Discord</t>
        </is>
      </c>
      <c r="D165" s="11" t="n"/>
      <c r="E165" s="11" t="n"/>
      <c r="F165" s="11">
        <f>IF($E165="","",IF($E165="Dead Lead","Black",IF(IF(ISNUMBER($J165),TODAY()-$J165&gt;3,FALSE),"Red",IF($E165="Reactivation Queue","Red",IF(OR($E165="First Deposit",$E165="Active"),"Green","Yellow")))))</f>
        <v/>
      </c>
      <c r="G165" s="11">
        <f>IF($F165="","",IF($F165="Red",1,IF($F165="Yellow",2,IF($F165="Green",3,4))))</f>
        <v/>
      </c>
      <c r="H165" s="14" t="n"/>
      <c r="I165" s="14" t="n"/>
      <c r="J165" s="12">
        <f>IF($E165="","",IF(AND(ISNUMBER($AD165),ISNUMBER($AE165)),MIN($AD165,$AE165),IF(ISNUMBER($AE165),$AE165,$AD165)))</f>
        <v/>
      </c>
      <c r="K165" s="11">
        <f>IF($E165="","",IF($E165="VIP Transferred",IF(N($AB165)&gt;=3,"Should be Dead Lead (3 attempts, still no deposit) - will auto-update","Day "&amp;CHOOSE(N($AB165)+1,1,2,3)&amp;" URGENT VIP check-in - help them finish KYC and lock in first deposit"),IF(AND($D165="",$E165&lt;&gt;"Dead Lead"),IF(N($T165)&gt;=3,"READY FOR DEAD LEAD (3 attempts, still no sign-up)","GET ROOBET SIGN-UP - "&amp;IFERROR(VLOOKUP($E165,Lists!$C$2:$E$20,2,FALSE),"")),IFERROR(VLOOKUP($E165,Lists!$C$2:$E$20,2,FALSE),""))))&amp;IF($AC165="Yes",IF(N($X165)&gt;=3," | VIP Team checkpoints complete - no more automatic check-ins"," | Day "&amp;CHOOSE(N($X165)+1,1,7,14)&amp;" VIP Team check-in - confirm active/depositing"),"")</f>
        <v/>
      </c>
      <c r="L165" s="11" t="n"/>
      <c r="M165" s="11" t="n"/>
      <c r="N165" s="15" t="n"/>
      <c r="O165" s="11">
        <f>IF($E165="","",IF(AND($E165="Active",$F165="Green"),"Yes","No"))</f>
        <v/>
      </c>
      <c r="P165" s="11" t="n"/>
      <c r="Q165">
        <f>IF($I165="","",ROUND(TODAY()-$I165,0))</f>
        <v/>
      </c>
      <c r="R165">
        <f>IF($B165="",0,IF(OR(AND(ISNUMBER($J165),$J165&lt;=TODAY(),$E165&lt;&gt;"Dead Lead"),AND($D165="",$E165&lt;&gt;"",$E165&lt;&gt;"Dead Lead",OR($I165="",$I165&lt;TODAY()))),1,0))</f>
        <v/>
      </c>
      <c r="S165">
        <f>IF($R165=1,SUMPRODUCT(($R$4:$R$203=1)*(($Q$4:$Q$203&gt;$Q165)+(($Q$4:$Q$203=$Q165)*(ROW($Q$4:$Q$203)&lt;ROW($Q165)))))+1,"")</f>
        <v/>
      </c>
      <c r="T165" s="11">
        <f>IF($B165="","",0)</f>
        <v/>
      </c>
      <c r="U165">
        <f>IF($B165="",0,IF($E165="Dead Lead",1,0))</f>
        <v/>
      </c>
      <c r="V165">
        <f>IF($U165=1,SUMPRODUCT(($U$4:$U$203=1)*(($J$4:$J$203&lt;$J165)+(($J$4:$J$203=$J165)*(ROW($J$4:$J$203)&lt;ROW($J165)))))+1,"")</f>
        <v/>
      </c>
      <c r="W165" s="12">
        <f>IF($B165="","","")</f>
        <v/>
      </c>
      <c r="X165" s="11">
        <f>IF($B165="","",0)</f>
        <v/>
      </c>
      <c r="Y165">
        <f>IF($B165="",0,IF(AND($R165=0,$E165&lt;&gt;"Dead Lead",ISNUMBER($J165),$J165&lt;=TODAY()+7),1,0))</f>
        <v/>
      </c>
      <c r="Z165">
        <f>IF($Y165=1,SUMPRODUCT(($Y$4:$Y$203=1)*(($J$4:$J$203&lt;$J165)+(($J$4:$J$203=$J165)*(ROW($J$4:$J$203)&lt;ROW($J165)))))+1,"")</f>
        <v/>
      </c>
      <c r="AA165" s="12">
        <f>IF($B165="","","")</f>
        <v/>
      </c>
      <c r="AB165" s="11">
        <f>IF($B165="","",0)</f>
        <v/>
      </c>
      <c r="AC165" s="11" t="n"/>
      <c r="AD165">
        <f>IF($E165="","",IF($E165="VIP Transferred",IF($AA165="","",IF(N($AB165)&gt;=3,"N/A - Closed",$AA165+CHOOSE(N($AB165)+1,1,2,3))),IF($I165="","",IF(VLOOKUP($E165,Lists!$C$2:$E$20,3,FALSE)="CLOSED","N/A - Closed",$I165+VLOOKUP($E165,Lists!$C$2:$E$20,3,FALSE)))))</f>
        <v/>
      </c>
      <c r="AE165">
        <f>IF(AND($AC165="Yes",$W165&lt;&gt;"",N($X165)&lt;3),$W165+CHOOSE(N($X165)+1,1,7,14),"")</f>
        <v/>
      </c>
      <c r="AF165" s="12">
        <f>IF($B165="","","")</f>
        <v/>
      </c>
    </row>
    <row r="166">
      <c r="A166" s="11">
        <f>IF($B166="","","YU-"&amp;TEXT(ROW()-3,"0000"))</f>
        <v/>
      </c>
      <c r="B166" s="11" t="n"/>
      <c r="C166" s="11" t="inlineStr">
        <is>
          <t>Discord</t>
        </is>
      </c>
      <c r="D166" s="11" t="n"/>
      <c r="E166" s="11" t="n"/>
      <c r="F166" s="11">
        <f>IF($E166="","",IF($E166="Dead Lead","Black",IF(IF(ISNUMBER($J166),TODAY()-$J166&gt;3,FALSE),"Red",IF($E166="Reactivation Queue","Red",IF(OR($E166="First Deposit",$E166="Active"),"Green","Yellow")))))</f>
        <v/>
      </c>
      <c r="G166" s="11">
        <f>IF($F166="","",IF($F166="Red",1,IF($F166="Yellow",2,IF($F166="Green",3,4))))</f>
        <v/>
      </c>
      <c r="H166" s="14" t="n"/>
      <c r="I166" s="14" t="n"/>
      <c r="J166" s="12">
        <f>IF($E166="","",IF(AND(ISNUMBER($AD166),ISNUMBER($AE166)),MIN($AD166,$AE166),IF(ISNUMBER($AE166),$AE166,$AD166)))</f>
        <v/>
      </c>
      <c r="K166" s="11">
        <f>IF($E166="","",IF($E166="VIP Transferred",IF(N($AB166)&gt;=3,"Should be Dead Lead (3 attempts, still no deposit) - will auto-update","Day "&amp;CHOOSE(N($AB166)+1,1,2,3)&amp;" URGENT VIP check-in - help them finish KYC and lock in first deposit"),IF(AND($D166="",$E166&lt;&gt;"Dead Lead"),IF(N($T166)&gt;=3,"READY FOR DEAD LEAD (3 attempts, still no sign-up)","GET ROOBET SIGN-UP - "&amp;IFERROR(VLOOKUP($E166,Lists!$C$2:$E$20,2,FALSE),"")),IFERROR(VLOOKUP($E166,Lists!$C$2:$E$20,2,FALSE),""))))&amp;IF($AC166="Yes",IF(N($X166)&gt;=3," | VIP Team checkpoints complete - no more automatic check-ins"," | Day "&amp;CHOOSE(N($X166)+1,1,7,14)&amp;" VIP Team check-in - confirm active/depositing"),"")</f>
        <v/>
      </c>
      <c r="L166" s="11" t="n"/>
      <c r="M166" s="11" t="n"/>
      <c r="N166" s="15" t="n"/>
      <c r="O166" s="11">
        <f>IF($E166="","",IF(AND($E166="Active",$F166="Green"),"Yes","No"))</f>
        <v/>
      </c>
      <c r="P166" s="11" t="n"/>
      <c r="Q166">
        <f>IF($I166="","",ROUND(TODAY()-$I166,0))</f>
        <v/>
      </c>
      <c r="R166">
        <f>IF($B166="",0,IF(OR(AND(ISNUMBER($J166),$J166&lt;=TODAY(),$E166&lt;&gt;"Dead Lead"),AND($D166="",$E166&lt;&gt;"",$E166&lt;&gt;"Dead Lead",OR($I166="",$I166&lt;TODAY()))),1,0))</f>
        <v/>
      </c>
      <c r="S166">
        <f>IF($R166=1,SUMPRODUCT(($R$4:$R$203=1)*(($Q$4:$Q$203&gt;$Q166)+(($Q$4:$Q$203=$Q166)*(ROW($Q$4:$Q$203)&lt;ROW($Q166)))))+1,"")</f>
        <v/>
      </c>
      <c r="T166" s="11">
        <f>IF($B166="","",0)</f>
        <v/>
      </c>
      <c r="U166">
        <f>IF($B166="",0,IF($E166="Dead Lead",1,0))</f>
        <v/>
      </c>
      <c r="V166">
        <f>IF($U166=1,SUMPRODUCT(($U$4:$U$203=1)*(($J$4:$J$203&lt;$J166)+(($J$4:$J$203=$J166)*(ROW($J$4:$J$203)&lt;ROW($J166)))))+1,"")</f>
        <v/>
      </c>
      <c r="W166" s="12">
        <f>IF($B166="","","")</f>
        <v/>
      </c>
      <c r="X166" s="11">
        <f>IF($B166="","",0)</f>
        <v/>
      </c>
      <c r="Y166">
        <f>IF($B166="",0,IF(AND($R166=0,$E166&lt;&gt;"Dead Lead",ISNUMBER($J166),$J166&lt;=TODAY()+7),1,0))</f>
        <v/>
      </c>
      <c r="Z166">
        <f>IF($Y166=1,SUMPRODUCT(($Y$4:$Y$203=1)*(($J$4:$J$203&lt;$J166)+(($J$4:$J$203=$J166)*(ROW($J$4:$J$203)&lt;ROW($J166)))))+1,"")</f>
        <v/>
      </c>
      <c r="AA166" s="12">
        <f>IF($B166="","","")</f>
        <v/>
      </c>
      <c r="AB166" s="11">
        <f>IF($B166="","",0)</f>
        <v/>
      </c>
      <c r="AC166" s="11" t="n"/>
      <c r="AD166">
        <f>IF($E166="","",IF($E166="VIP Transferred",IF($AA166="","",IF(N($AB166)&gt;=3,"N/A - Closed",$AA166+CHOOSE(N($AB166)+1,1,2,3))),IF($I166="","",IF(VLOOKUP($E166,Lists!$C$2:$E$20,3,FALSE)="CLOSED","N/A - Closed",$I166+VLOOKUP($E166,Lists!$C$2:$E$20,3,FALSE)))))</f>
        <v/>
      </c>
      <c r="AE166">
        <f>IF(AND($AC166="Yes",$W166&lt;&gt;"",N($X166)&lt;3),$W166+CHOOSE(N($X166)+1,1,7,14),"")</f>
        <v/>
      </c>
      <c r="AF166" s="12">
        <f>IF($B166="","","")</f>
        <v/>
      </c>
    </row>
    <row r="167">
      <c r="A167" s="11">
        <f>IF($B167="","","YU-"&amp;TEXT(ROW()-3,"0000"))</f>
        <v/>
      </c>
      <c r="B167" s="11" t="n"/>
      <c r="C167" s="11" t="inlineStr">
        <is>
          <t>Discord</t>
        </is>
      </c>
      <c r="D167" s="11" t="n"/>
      <c r="E167" s="11" t="n"/>
      <c r="F167" s="11">
        <f>IF($E167="","",IF($E167="Dead Lead","Black",IF(IF(ISNUMBER($J167),TODAY()-$J167&gt;3,FALSE),"Red",IF($E167="Reactivation Queue","Red",IF(OR($E167="First Deposit",$E167="Active"),"Green","Yellow")))))</f>
        <v/>
      </c>
      <c r="G167" s="11">
        <f>IF($F167="","",IF($F167="Red",1,IF($F167="Yellow",2,IF($F167="Green",3,4))))</f>
        <v/>
      </c>
      <c r="H167" s="14" t="n"/>
      <c r="I167" s="14" t="n"/>
      <c r="J167" s="12">
        <f>IF($E167="","",IF(AND(ISNUMBER($AD167),ISNUMBER($AE167)),MIN($AD167,$AE167),IF(ISNUMBER($AE167),$AE167,$AD167)))</f>
        <v/>
      </c>
      <c r="K167" s="11">
        <f>IF($E167="","",IF($E167="VIP Transferred",IF(N($AB167)&gt;=3,"Should be Dead Lead (3 attempts, still no deposit) - will auto-update","Day "&amp;CHOOSE(N($AB167)+1,1,2,3)&amp;" URGENT VIP check-in - help them finish KYC and lock in first deposit"),IF(AND($D167="",$E167&lt;&gt;"Dead Lead"),IF(N($T167)&gt;=3,"READY FOR DEAD LEAD (3 attempts, still no sign-up)","GET ROOBET SIGN-UP - "&amp;IFERROR(VLOOKUP($E167,Lists!$C$2:$E$20,2,FALSE),"")),IFERROR(VLOOKUP($E167,Lists!$C$2:$E$20,2,FALSE),""))))&amp;IF($AC167="Yes",IF(N($X167)&gt;=3," | VIP Team checkpoints complete - no more automatic check-ins"," | Day "&amp;CHOOSE(N($X167)+1,1,7,14)&amp;" VIP Team check-in - confirm active/depositing"),"")</f>
        <v/>
      </c>
      <c r="L167" s="11" t="n"/>
      <c r="M167" s="11" t="n"/>
      <c r="N167" s="15" t="n"/>
      <c r="O167" s="11">
        <f>IF($E167="","",IF(AND($E167="Active",$F167="Green"),"Yes","No"))</f>
        <v/>
      </c>
      <c r="P167" s="11" t="n"/>
      <c r="Q167">
        <f>IF($I167="","",ROUND(TODAY()-$I167,0))</f>
        <v/>
      </c>
      <c r="R167">
        <f>IF($B167="",0,IF(OR(AND(ISNUMBER($J167),$J167&lt;=TODAY(),$E167&lt;&gt;"Dead Lead"),AND($D167="",$E167&lt;&gt;"",$E167&lt;&gt;"Dead Lead",OR($I167="",$I167&lt;TODAY()))),1,0))</f>
        <v/>
      </c>
      <c r="S167">
        <f>IF($R167=1,SUMPRODUCT(($R$4:$R$203=1)*(($Q$4:$Q$203&gt;$Q167)+(($Q$4:$Q$203=$Q167)*(ROW($Q$4:$Q$203)&lt;ROW($Q167)))))+1,"")</f>
        <v/>
      </c>
      <c r="T167" s="11">
        <f>IF($B167="","",0)</f>
        <v/>
      </c>
      <c r="U167">
        <f>IF($B167="",0,IF($E167="Dead Lead",1,0))</f>
        <v/>
      </c>
      <c r="V167">
        <f>IF($U167=1,SUMPRODUCT(($U$4:$U$203=1)*(($J$4:$J$203&lt;$J167)+(($J$4:$J$203=$J167)*(ROW($J$4:$J$203)&lt;ROW($J167)))))+1,"")</f>
        <v/>
      </c>
      <c r="W167" s="12">
        <f>IF($B167="","","")</f>
        <v/>
      </c>
      <c r="X167" s="11">
        <f>IF($B167="","",0)</f>
        <v/>
      </c>
      <c r="Y167">
        <f>IF($B167="",0,IF(AND($R167=0,$E167&lt;&gt;"Dead Lead",ISNUMBER($J167),$J167&lt;=TODAY()+7),1,0))</f>
        <v/>
      </c>
      <c r="Z167">
        <f>IF($Y167=1,SUMPRODUCT(($Y$4:$Y$203=1)*(($J$4:$J$203&lt;$J167)+(($J$4:$J$203=$J167)*(ROW($J$4:$J$203)&lt;ROW($J167)))))+1,"")</f>
        <v/>
      </c>
      <c r="AA167" s="12">
        <f>IF($B167="","","")</f>
        <v/>
      </c>
      <c r="AB167" s="11">
        <f>IF($B167="","",0)</f>
        <v/>
      </c>
      <c r="AC167" s="11" t="n"/>
      <c r="AD167">
        <f>IF($E167="","",IF($E167="VIP Transferred",IF($AA167="","",IF(N($AB167)&gt;=3,"N/A - Closed",$AA167+CHOOSE(N($AB167)+1,1,2,3))),IF($I167="","",IF(VLOOKUP($E167,Lists!$C$2:$E$20,3,FALSE)="CLOSED","N/A - Closed",$I167+VLOOKUP($E167,Lists!$C$2:$E$20,3,FALSE)))))</f>
        <v/>
      </c>
      <c r="AE167">
        <f>IF(AND($AC167="Yes",$W167&lt;&gt;"",N($X167)&lt;3),$W167+CHOOSE(N($X167)+1,1,7,14),"")</f>
        <v/>
      </c>
      <c r="AF167" s="12">
        <f>IF($B167="","","")</f>
        <v/>
      </c>
    </row>
    <row r="168">
      <c r="A168" s="11">
        <f>IF($B168="","","YU-"&amp;TEXT(ROW()-3,"0000"))</f>
        <v/>
      </c>
      <c r="B168" s="11" t="n"/>
      <c r="C168" s="11" t="inlineStr">
        <is>
          <t>Discord</t>
        </is>
      </c>
      <c r="D168" s="11" t="n"/>
      <c r="E168" s="11" t="n"/>
      <c r="F168" s="11">
        <f>IF($E168="","",IF($E168="Dead Lead","Black",IF(IF(ISNUMBER($J168),TODAY()-$J168&gt;3,FALSE),"Red",IF($E168="Reactivation Queue","Red",IF(OR($E168="First Deposit",$E168="Active"),"Green","Yellow")))))</f>
        <v/>
      </c>
      <c r="G168" s="11">
        <f>IF($F168="","",IF($F168="Red",1,IF($F168="Yellow",2,IF($F168="Green",3,4))))</f>
        <v/>
      </c>
      <c r="H168" s="14" t="n"/>
      <c r="I168" s="14" t="n"/>
      <c r="J168" s="12">
        <f>IF($E168="","",IF(AND(ISNUMBER($AD168),ISNUMBER($AE168)),MIN($AD168,$AE168),IF(ISNUMBER($AE168),$AE168,$AD168)))</f>
        <v/>
      </c>
      <c r="K168" s="11">
        <f>IF($E168="","",IF($E168="VIP Transferred",IF(N($AB168)&gt;=3,"Should be Dead Lead (3 attempts, still no deposit) - will auto-update","Day "&amp;CHOOSE(N($AB168)+1,1,2,3)&amp;" URGENT VIP check-in - help them finish KYC and lock in first deposit"),IF(AND($D168="",$E168&lt;&gt;"Dead Lead"),IF(N($T168)&gt;=3,"READY FOR DEAD LEAD (3 attempts, still no sign-up)","GET ROOBET SIGN-UP - "&amp;IFERROR(VLOOKUP($E168,Lists!$C$2:$E$20,2,FALSE),"")),IFERROR(VLOOKUP($E168,Lists!$C$2:$E$20,2,FALSE),""))))&amp;IF($AC168="Yes",IF(N($X168)&gt;=3," | VIP Team checkpoints complete - no more automatic check-ins"," | Day "&amp;CHOOSE(N($X168)+1,1,7,14)&amp;" VIP Team check-in - confirm active/depositing"),"")</f>
        <v/>
      </c>
      <c r="L168" s="11" t="n"/>
      <c r="M168" s="11" t="n"/>
      <c r="N168" s="15" t="n"/>
      <c r="O168" s="11">
        <f>IF($E168="","",IF(AND($E168="Active",$F168="Green"),"Yes","No"))</f>
        <v/>
      </c>
      <c r="P168" s="11" t="n"/>
      <c r="Q168">
        <f>IF($I168="","",ROUND(TODAY()-$I168,0))</f>
        <v/>
      </c>
      <c r="R168">
        <f>IF($B168="",0,IF(OR(AND(ISNUMBER($J168),$J168&lt;=TODAY(),$E168&lt;&gt;"Dead Lead"),AND($D168="",$E168&lt;&gt;"",$E168&lt;&gt;"Dead Lead",OR($I168="",$I168&lt;TODAY()))),1,0))</f>
        <v/>
      </c>
      <c r="S168">
        <f>IF($R168=1,SUMPRODUCT(($R$4:$R$203=1)*(($Q$4:$Q$203&gt;$Q168)+(($Q$4:$Q$203=$Q168)*(ROW($Q$4:$Q$203)&lt;ROW($Q168)))))+1,"")</f>
        <v/>
      </c>
      <c r="T168" s="11">
        <f>IF($B168="","",0)</f>
        <v/>
      </c>
      <c r="U168">
        <f>IF($B168="",0,IF($E168="Dead Lead",1,0))</f>
        <v/>
      </c>
      <c r="V168">
        <f>IF($U168=1,SUMPRODUCT(($U$4:$U$203=1)*(($J$4:$J$203&lt;$J168)+(($J$4:$J$203=$J168)*(ROW($J$4:$J$203)&lt;ROW($J168)))))+1,"")</f>
        <v/>
      </c>
      <c r="W168" s="12">
        <f>IF($B168="","","")</f>
        <v/>
      </c>
      <c r="X168" s="11">
        <f>IF($B168="","",0)</f>
        <v/>
      </c>
      <c r="Y168">
        <f>IF($B168="",0,IF(AND($R168=0,$E168&lt;&gt;"Dead Lead",ISNUMBER($J168),$J168&lt;=TODAY()+7),1,0))</f>
        <v/>
      </c>
      <c r="Z168">
        <f>IF($Y168=1,SUMPRODUCT(($Y$4:$Y$203=1)*(($J$4:$J$203&lt;$J168)+(($J$4:$J$203=$J168)*(ROW($J$4:$J$203)&lt;ROW($J168)))))+1,"")</f>
        <v/>
      </c>
      <c r="AA168" s="12">
        <f>IF($B168="","","")</f>
        <v/>
      </c>
      <c r="AB168" s="11">
        <f>IF($B168="","",0)</f>
        <v/>
      </c>
      <c r="AC168" s="11" t="n"/>
      <c r="AD168">
        <f>IF($E168="","",IF($E168="VIP Transferred",IF($AA168="","",IF(N($AB168)&gt;=3,"N/A - Closed",$AA168+CHOOSE(N($AB168)+1,1,2,3))),IF($I168="","",IF(VLOOKUP($E168,Lists!$C$2:$E$20,3,FALSE)="CLOSED","N/A - Closed",$I168+VLOOKUP($E168,Lists!$C$2:$E$20,3,FALSE)))))</f>
        <v/>
      </c>
      <c r="AE168">
        <f>IF(AND($AC168="Yes",$W168&lt;&gt;"",N($X168)&lt;3),$W168+CHOOSE(N($X168)+1,1,7,14),"")</f>
        <v/>
      </c>
      <c r="AF168" s="12">
        <f>IF($B168="","","")</f>
        <v/>
      </c>
    </row>
    <row r="169">
      <c r="A169" s="11">
        <f>IF($B169="","","YU-"&amp;TEXT(ROW()-3,"0000"))</f>
        <v/>
      </c>
      <c r="B169" s="11" t="n"/>
      <c r="C169" s="11" t="inlineStr">
        <is>
          <t>Discord</t>
        </is>
      </c>
      <c r="D169" s="11" t="n"/>
      <c r="E169" s="11" t="n"/>
      <c r="F169" s="11">
        <f>IF($E169="","",IF($E169="Dead Lead","Black",IF(IF(ISNUMBER($J169),TODAY()-$J169&gt;3,FALSE),"Red",IF($E169="Reactivation Queue","Red",IF(OR($E169="First Deposit",$E169="Active"),"Green","Yellow")))))</f>
        <v/>
      </c>
      <c r="G169" s="11">
        <f>IF($F169="","",IF($F169="Red",1,IF($F169="Yellow",2,IF($F169="Green",3,4))))</f>
        <v/>
      </c>
      <c r="H169" s="14" t="n"/>
      <c r="I169" s="14" t="n"/>
      <c r="J169" s="12">
        <f>IF($E169="","",IF(AND(ISNUMBER($AD169),ISNUMBER($AE169)),MIN($AD169,$AE169),IF(ISNUMBER($AE169),$AE169,$AD169)))</f>
        <v/>
      </c>
      <c r="K169" s="11">
        <f>IF($E169="","",IF($E169="VIP Transferred",IF(N($AB169)&gt;=3,"Should be Dead Lead (3 attempts, still no deposit) - will auto-update","Day "&amp;CHOOSE(N($AB169)+1,1,2,3)&amp;" URGENT VIP check-in - help them finish KYC and lock in first deposit"),IF(AND($D169="",$E169&lt;&gt;"Dead Lead"),IF(N($T169)&gt;=3,"READY FOR DEAD LEAD (3 attempts, still no sign-up)","GET ROOBET SIGN-UP - "&amp;IFERROR(VLOOKUP($E169,Lists!$C$2:$E$20,2,FALSE),"")),IFERROR(VLOOKUP($E169,Lists!$C$2:$E$20,2,FALSE),""))))&amp;IF($AC169="Yes",IF(N($X169)&gt;=3," | VIP Team checkpoints complete - no more automatic check-ins"," | Day "&amp;CHOOSE(N($X169)+1,1,7,14)&amp;" VIP Team check-in - confirm active/depositing"),"")</f>
        <v/>
      </c>
      <c r="L169" s="11" t="n"/>
      <c r="M169" s="11" t="n"/>
      <c r="N169" s="15" t="n"/>
      <c r="O169" s="11">
        <f>IF($E169="","",IF(AND($E169="Active",$F169="Green"),"Yes","No"))</f>
        <v/>
      </c>
      <c r="P169" s="11" t="n"/>
      <c r="Q169">
        <f>IF($I169="","",ROUND(TODAY()-$I169,0))</f>
        <v/>
      </c>
      <c r="R169">
        <f>IF($B169="",0,IF(OR(AND(ISNUMBER($J169),$J169&lt;=TODAY(),$E169&lt;&gt;"Dead Lead"),AND($D169="",$E169&lt;&gt;"",$E169&lt;&gt;"Dead Lead",OR($I169="",$I169&lt;TODAY()))),1,0))</f>
        <v/>
      </c>
      <c r="S169">
        <f>IF($R169=1,SUMPRODUCT(($R$4:$R$203=1)*(($Q$4:$Q$203&gt;$Q169)+(($Q$4:$Q$203=$Q169)*(ROW($Q$4:$Q$203)&lt;ROW($Q169)))))+1,"")</f>
        <v/>
      </c>
      <c r="T169" s="11">
        <f>IF($B169="","",0)</f>
        <v/>
      </c>
      <c r="U169">
        <f>IF($B169="",0,IF($E169="Dead Lead",1,0))</f>
        <v/>
      </c>
      <c r="V169">
        <f>IF($U169=1,SUMPRODUCT(($U$4:$U$203=1)*(($J$4:$J$203&lt;$J169)+(($J$4:$J$203=$J169)*(ROW($J$4:$J$203)&lt;ROW($J169)))))+1,"")</f>
        <v/>
      </c>
      <c r="W169" s="12">
        <f>IF($B169="","","")</f>
        <v/>
      </c>
      <c r="X169" s="11">
        <f>IF($B169="","",0)</f>
        <v/>
      </c>
      <c r="Y169">
        <f>IF($B169="",0,IF(AND($R169=0,$E169&lt;&gt;"Dead Lead",ISNUMBER($J169),$J169&lt;=TODAY()+7),1,0))</f>
        <v/>
      </c>
      <c r="Z169">
        <f>IF($Y169=1,SUMPRODUCT(($Y$4:$Y$203=1)*(($J$4:$J$203&lt;$J169)+(($J$4:$J$203=$J169)*(ROW($J$4:$J$203)&lt;ROW($J169)))))+1,"")</f>
        <v/>
      </c>
      <c r="AA169" s="12">
        <f>IF($B169="","","")</f>
        <v/>
      </c>
      <c r="AB169" s="11">
        <f>IF($B169="","",0)</f>
        <v/>
      </c>
      <c r="AC169" s="11" t="n"/>
      <c r="AD169">
        <f>IF($E169="","",IF($E169="VIP Transferred",IF($AA169="","",IF(N($AB169)&gt;=3,"N/A - Closed",$AA169+CHOOSE(N($AB169)+1,1,2,3))),IF($I169="","",IF(VLOOKUP($E169,Lists!$C$2:$E$20,3,FALSE)="CLOSED","N/A - Closed",$I169+VLOOKUP($E169,Lists!$C$2:$E$20,3,FALSE)))))</f>
        <v/>
      </c>
      <c r="AE169">
        <f>IF(AND($AC169="Yes",$W169&lt;&gt;"",N($X169)&lt;3),$W169+CHOOSE(N($X169)+1,1,7,14),"")</f>
        <v/>
      </c>
      <c r="AF169" s="12">
        <f>IF($B169="","","")</f>
        <v/>
      </c>
    </row>
    <row r="170">
      <c r="A170" s="11">
        <f>IF($B170="","","YU-"&amp;TEXT(ROW()-3,"0000"))</f>
        <v/>
      </c>
      <c r="B170" s="11" t="n"/>
      <c r="C170" s="11" t="inlineStr">
        <is>
          <t>Discord</t>
        </is>
      </c>
      <c r="D170" s="11" t="n"/>
      <c r="E170" s="11" t="n"/>
      <c r="F170" s="11">
        <f>IF($E170="","",IF($E170="Dead Lead","Black",IF(IF(ISNUMBER($J170),TODAY()-$J170&gt;3,FALSE),"Red",IF($E170="Reactivation Queue","Red",IF(OR($E170="First Deposit",$E170="Active"),"Green","Yellow")))))</f>
        <v/>
      </c>
      <c r="G170" s="11">
        <f>IF($F170="","",IF($F170="Red",1,IF($F170="Yellow",2,IF($F170="Green",3,4))))</f>
        <v/>
      </c>
      <c r="H170" s="14" t="n"/>
      <c r="I170" s="14" t="n"/>
      <c r="J170" s="12">
        <f>IF($E170="","",IF(AND(ISNUMBER($AD170),ISNUMBER($AE170)),MIN($AD170,$AE170),IF(ISNUMBER($AE170),$AE170,$AD170)))</f>
        <v/>
      </c>
      <c r="K170" s="11">
        <f>IF($E170="","",IF($E170="VIP Transferred",IF(N($AB170)&gt;=3,"Should be Dead Lead (3 attempts, still no deposit) - will auto-update","Day "&amp;CHOOSE(N($AB170)+1,1,2,3)&amp;" URGENT VIP check-in - help them finish KYC and lock in first deposit"),IF(AND($D170="",$E170&lt;&gt;"Dead Lead"),IF(N($T170)&gt;=3,"READY FOR DEAD LEAD (3 attempts, still no sign-up)","GET ROOBET SIGN-UP - "&amp;IFERROR(VLOOKUP($E170,Lists!$C$2:$E$20,2,FALSE),"")),IFERROR(VLOOKUP($E170,Lists!$C$2:$E$20,2,FALSE),""))))&amp;IF($AC170="Yes",IF(N($X170)&gt;=3," | VIP Team checkpoints complete - no more automatic check-ins"," | Day "&amp;CHOOSE(N($X170)+1,1,7,14)&amp;" VIP Team check-in - confirm active/depositing"),"")</f>
        <v/>
      </c>
      <c r="L170" s="11" t="n"/>
      <c r="M170" s="11" t="n"/>
      <c r="N170" s="15" t="n"/>
      <c r="O170" s="11">
        <f>IF($E170="","",IF(AND($E170="Active",$F170="Green"),"Yes","No"))</f>
        <v/>
      </c>
      <c r="P170" s="11" t="n"/>
      <c r="Q170">
        <f>IF($I170="","",ROUND(TODAY()-$I170,0))</f>
        <v/>
      </c>
      <c r="R170">
        <f>IF($B170="",0,IF(OR(AND(ISNUMBER($J170),$J170&lt;=TODAY(),$E170&lt;&gt;"Dead Lead"),AND($D170="",$E170&lt;&gt;"",$E170&lt;&gt;"Dead Lead",OR($I170="",$I170&lt;TODAY()))),1,0))</f>
        <v/>
      </c>
      <c r="S170">
        <f>IF($R170=1,SUMPRODUCT(($R$4:$R$203=1)*(($Q$4:$Q$203&gt;$Q170)+(($Q$4:$Q$203=$Q170)*(ROW($Q$4:$Q$203)&lt;ROW($Q170)))))+1,"")</f>
        <v/>
      </c>
      <c r="T170" s="11">
        <f>IF($B170="","",0)</f>
        <v/>
      </c>
      <c r="U170">
        <f>IF($B170="",0,IF($E170="Dead Lead",1,0))</f>
        <v/>
      </c>
      <c r="V170">
        <f>IF($U170=1,SUMPRODUCT(($U$4:$U$203=1)*(($J$4:$J$203&lt;$J170)+(($J$4:$J$203=$J170)*(ROW($J$4:$J$203)&lt;ROW($J170)))))+1,"")</f>
        <v/>
      </c>
      <c r="W170" s="12">
        <f>IF($B170="","","")</f>
        <v/>
      </c>
      <c r="X170" s="11">
        <f>IF($B170="","",0)</f>
        <v/>
      </c>
      <c r="Y170">
        <f>IF($B170="",0,IF(AND($R170=0,$E170&lt;&gt;"Dead Lead",ISNUMBER($J170),$J170&lt;=TODAY()+7),1,0))</f>
        <v/>
      </c>
      <c r="Z170">
        <f>IF($Y170=1,SUMPRODUCT(($Y$4:$Y$203=1)*(($J$4:$J$203&lt;$J170)+(($J$4:$J$203=$J170)*(ROW($J$4:$J$203)&lt;ROW($J170)))))+1,"")</f>
        <v/>
      </c>
      <c r="AA170" s="12">
        <f>IF($B170="","","")</f>
        <v/>
      </c>
      <c r="AB170" s="11">
        <f>IF($B170="","",0)</f>
        <v/>
      </c>
      <c r="AC170" s="11" t="n"/>
      <c r="AD170">
        <f>IF($E170="","",IF($E170="VIP Transferred",IF($AA170="","",IF(N($AB170)&gt;=3,"N/A - Closed",$AA170+CHOOSE(N($AB170)+1,1,2,3))),IF($I170="","",IF(VLOOKUP($E170,Lists!$C$2:$E$20,3,FALSE)="CLOSED","N/A - Closed",$I170+VLOOKUP($E170,Lists!$C$2:$E$20,3,FALSE)))))</f>
        <v/>
      </c>
      <c r="AE170">
        <f>IF(AND($AC170="Yes",$W170&lt;&gt;"",N($X170)&lt;3),$W170+CHOOSE(N($X170)+1,1,7,14),"")</f>
        <v/>
      </c>
      <c r="AF170" s="12">
        <f>IF($B170="","","")</f>
        <v/>
      </c>
    </row>
    <row r="171">
      <c r="A171" s="11">
        <f>IF($B171="","","YU-"&amp;TEXT(ROW()-3,"0000"))</f>
        <v/>
      </c>
      <c r="B171" s="11" t="n"/>
      <c r="C171" s="11" t="inlineStr">
        <is>
          <t>Discord</t>
        </is>
      </c>
      <c r="D171" s="11" t="n"/>
      <c r="E171" s="11" t="n"/>
      <c r="F171" s="11">
        <f>IF($E171="","",IF($E171="Dead Lead","Black",IF(IF(ISNUMBER($J171),TODAY()-$J171&gt;3,FALSE),"Red",IF($E171="Reactivation Queue","Red",IF(OR($E171="First Deposit",$E171="Active"),"Green","Yellow")))))</f>
        <v/>
      </c>
      <c r="G171" s="11">
        <f>IF($F171="","",IF($F171="Red",1,IF($F171="Yellow",2,IF($F171="Green",3,4))))</f>
        <v/>
      </c>
      <c r="H171" s="14" t="n"/>
      <c r="I171" s="14" t="n"/>
      <c r="J171" s="12">
        <f>IF($E171="","",IF(AND(ISNUMBER($AD171),ISNUMBER($AE171)),MIN($AD171,$AE171),IF(ISNUMBER($AE171),$AE171,$AD171)))</f>
        <v/>
      </c>
      <c r="K171" s="11">
        <f>IF($E171="","",IF($E171="VIP Transferred",IF(N($AB171)&gt;=3,"Should be Dead Lead (3 attempts, still no deposit) - will auto-update","Day "&amp;CHOOSE(N($AB171)+1,1,2,3)&amp;" URGENT VIP check-in - help them finish KYC and lock in first deposit"),IF(AND($D171="",$E171&lt;&gt;"Dead Lead"),IF(N($T171)&gt;=3,"READY FOR DEAD LEAD (3 attempts, still no sign-up)","GET ROOBET SIGN-UP - "&amp;IFERROR(VLOOKUP($E171,Lists!$C$2:$E$20,2,FALSE),"")),IFERROR(VLOOKUP($E171,Lists!$C$2:$E$20,2,FALSE),""))))&amp;IF($AC171="Yes",IF(N($X171)&gt;=3," | VIP Team checkpoints complete - no more automatic check-ins"," | Day "&amp;CHOOSE(N($X171)+1,1,7,14)&amp;" VIP Team check-in - confirm active/depositing"),"")</f>
        <v/>
      </c>
      <c r="L171" s="11" t="n"/>
      <c r="M171" s="11" t="n"/>
      <c r="N171" s="15" t="n"/>
      <c r="O171" s="11">
        <f>IF($E171="","",IF(AND($E171="Active",$F171="Green"),"Yes","No"))</f>
        <v/>
      </c>
      <c r="P171" s="11" t="n"/>
      <c r="Q171">
        <f>IF($I171="","",ROUND(TODAY()-$I171,0))</f>
        <v/>
      </c>
      <c r="R171">
        <f>IF($B171="",0,IF(OR(AND(ISNUMBER($J171),$J171&lt;=TODAY(),$E171&lt;&gt;"Dead Lead"),AND($D171="",$E171&lt;&gt;"",$E171&lt;&gt;"Dead Lead",OR($I171="",$I171&lt;TODAY()))),1,0))</f>
        <v/>
      </c>
      <c r="S171">
        <f>IF($R171=1,SUMPRODUCT(($R$4:$R$203=1)*(($Q$4:$Q$203&gt;$Q171)+(($Q$4:$Q$203=$Q171)*(ROW($Q$4:$Q$203)&lt;ROW($Q171)))))+1,"")</f>
        <v/>
      </c>
      <c r="T171" s="11">
        <f>IF($B171="","",0)</f>
        <v/>
      </c>
      <c r="U171">
        <f>IF($B171="",0,IF($E171="Dead Lead",1,0))</f>
        <v/>
      </c>
      <c r="V171">
        <f>IF($U171=1,SUMPRODUCT(($U$4:$U$203=1)*(($J$4:$J$203&lt;$J171)+(($J$4:$J$203=$J171)*(ROW($J$4:$J$203)&lt;ROW($J171)))))+1,"")</f>
        <v/>
      </c>
      <c r="W171" s="12">
        <f>IF($B171="","","")</f>
        <v/>
      </c>
      <c r="X171" s="11">
        <f>IF($B171="","",0)</f>
        <v/>
      </c>
      <c r="Y171">
        <f>IF($B171="",0,IF(AND($R171=0,$E171&lt;&gt;"Dead Lead",ISNUMBER($J171),$J171&lt;=TODAY()+7),1,0))</f>
        <v/>
      </c>
      <c r="Z171">
        <f>IF($Y171=1,SUMPRODUCT(($Y$4:$Y$203=1)*(($J$4:$J$203&lt;$J171)+(($J$4:$J$203=$J171)*(ROW($J$4:$J$203)&lt;ROW($J171)))))+1,"")</f>
        <v/>
      </c>
      <c r="AA171" s="12">
        <f>IF($B171="","","")</f>
        <v/>
      </c>
      <c r="AB171" s="11">
        <f>IF($B171="","",0)</f>
        <v/>
      </c>
      <c r="AC171" s="11" t="n"/>
      <c r="AD171">
        <f>IF($E171="","",IF($E171="VIP Transferred",IF($AA171="","",IF(N($AB171)&gt;=3,"N/A - Closed",$AA171+CHOOSE(N($AB171)+1,1,2,3))),IF($I171="","",IF(VLOOKUP($E171,Lists!$C$2:$E$20,3,FALSE)="CLOSED","N/A - Closed",$I171+VLOOKUP($E171,Lists!$C$2:$E$20,3,FALSE)))))</f>
        <v/>
      </c>
      <c r="AE171">
        <f>IF(AND($AC171="Yes",$W171&lt;&gt;"",N($X171)&lt;3),$W171+CHOOSE(N($X171)+1,1,7,14),"")</f>
        <v/>
      </c>
      <c r="AF171" s="12">
        <f>IF($B171="","","")</f>
        <v/>
      </c>
    </row>
    <row r="172">
      <c r="A172" s="11">
        <f>IF($B172="","","YU-"&amp;TEXT(ROW()-3,"0000"))</f>
        <v/>
      </c>
      <c r="B172" s="11" t="n"/>
      <c r="C172" s="11" t="inlineStr">
        <is>
          <t>Discord</t>
        </is>
      </c>
      <c r="D172" s="11" t="n"/>
      <c r="E172" s="11" t="n"/>
      <c r="F172" s="11">
        <f>IF($E172="","",IF($E172="Dead Lead","Black",IF(IF(ISNUMBER($J172),TODAY()-$J172&gt;3,FALSE),"Red",IF($E172="Reactivation Queue","Red",IF(OR($E172="First Deposit",$E172="Active"),"Green","Yellow")))))</f>
        <v/>
      </c>
      <c r="G172" s="11">
        <f>IF($F172="","",IF($F172="Red",1,IF($F172="Yellow",2,IF($F172="Green",3,4))))</f>
        <v/>
      </c>
      <c r="H172" s="14" t="n"/>
      <c r="I172" s="14" t="n"/>
      <c r="J172" s="12">
        <f>IF($E172="","",IF(AND(ISNUMBER($AD172),ISNUMBER($AE172)),MIN($AD172,$AE172),IF(ISNUMBER($AE172),$AE172,$AD172)))</f>
        <v/>
      </c>
      <c r="K172" s="11">
        <f>IF($E172="","",IF($E172="VIP Transferred",IF(N($AB172)&gt;=3,"Should be Dead Lead (3 attempts, still no deposit) - will auto-update","Day "&amp;CHOOSE(N($AB172)+1,1,2,3)&amp;" URGENT VIP check-in - help them finish KYC and lock in first deposit"),IF(AND($D172="",$E172&lt;&gt;"Dead Lead"),IF(N($T172)&gt;=3,"READY FOR DEAD LEAD (3 attempts, still no sign-up)","GET ROOBET SIGN-UP - "&amp;IFERROR(VLOOKUP($E172,Lists!$C$2:$E$20,2,FALSE),"")),IFERROR(VLOOKUP($E172,Lists!$C$2:$E$20,2,FALSE),""))))&amp;IF($AC172="Yes",IF(N($X172)&gt;=3," | VIP Team checkpoints complete - no more automatic check-ins"," | Day "&amp;CHOOSE(N($X172)+1,1,7,14)&amp;" VIP Team check-in - confirm active/depositing"),"")</f>
        <v/>
      </c>
      <c r="L172" s="11" t="n"/>
      <c r="M172" s="11" t="n"/>
      <c r="N172" s="15" t="n"/>
      <c r="O172" s="11">
        <f>IF($E172="","",IF(AND($E172="Active",$F172="Green"),"Yes","No"))</f>
        <v/>
      </c>
      <c r="P172" s="11" t="n"/>
      <c r="Q172">
        <f>IF($I172="","",ROUND(TODAY()-$I172,0))</f>
        <v/>
      </c>
      <c r="R172">
        <f>IF($B172="",0,IF(OR(AND(ISNUMBER($J172),$J172&lt;=TODAY(),$E172&lt;&gt;"Dead Lead"),AND($D172="",$E172&lt;&gt;"",$E172&lt;&gt;"Dead Lead",OR($I172="",$I172&lt;TODAY()))),1,0))</f>
        <v/>
      </c>
      <c r="S172">
        <f>IF($R172=1,SUMPRODUCT(($R$4:$R$203=1)*(($Q$4:$Q$203&gt;$Q172)+(($Q$4:$Q$203=$Q172)*(ROW($Q$4:$Q$203)&lt;ROW($Q172)))))+1,"")</f>
        <v/>
      </c>
      <c r="T172" s="11">
        <f>IF($B172="","",0)</f>
        <v/>
      </c>
      <c r="U172">
        <f>IF($B172="",0,IF($E172="Dead Lead",1,0))</f>
        <v/>
      </c>
      <c r="V172">
        <f>IF($U172=1,SUMPRODUCT(($U$4:$U$203=1)*(($J$4:$J$203&lt;$J172)+(($J$4:$J$203=$J172)*(ROW($J$4:$J$203)&lt;ROW($J172)))))+1,"")</f>
        <v/>
      </c>
      <c r="W172" s="12">
        <f>IF($B172="","","")</f>
        <v/>
      </c>
      <c r="X172" s="11">
        <f>IF($B172="","",0)</f>
        <v/>
      </c>
      <c r="Y172">
        <f>IF($B172="",0,IF(AND($R172=0,$E172&lt;&gt;"Dead Lead",ISNUMBER($J172),$J172&lt;=TODAY()+7),1,0))</f>
        <v/>
      </c>
      <c r="Z172">
        <f>IF($Y172=1,SUMPRODUCT(($Y$4:$Y$203=1)*(($J$4:$J$203&lt;$J172)+(($J$4:$J$203=$J172)*(ROW($J$4:$J$203)&lt;ROW($J172)))))+1,"")</f>
        <v/>
      </c>
      <c r="AA172" s="12">
        <f>IF($B172="","","")</f>
        <v/>
      </c>
      <c r="AB172" s="11">
        <f>IF($B172="","",0)</f>
        <v/>
      </c>
      <c r="AC172" s="11" t="n"/>
      <c r="AD172">
        <f>IF($E172="","",IF($E172="VIP Transferred",IF($AA172="","",IF(N($AB172)&gt;=3,"N/A - Closed",$AA172+CHOOSE(N($AB172)+1,1,2,3))),IF($I172="","",IF(VLOOKUP($E172,Lists!$C$2:$E$20,3,FALSE)="CLOSED","N/A - Closed",$I172+VLOOKUP($E172,Lists!$C$2:$E$20,3,FALSE)))))</f>
        <v/>
      </c>
      <c r="AE172">
        <f>IF(AND($AC172="Yes",$W172&lt;&gt;"",N($X172)&lt;3),$W172+CHOOSE(N($X172)+1,1,7,14),"")</f>
        <v/>
      </c>
      <c r="AF172" s="12">
        <f>IF($B172="","","")</f>
        <v/>
      </c>
    </row>
    <row r="173">
      <c r="A173" s="11">
        <f>IF($B173="","","YU-"&amp;TEXT(ROW()-3,"0000"))</f>
        <v/>
      </c>
      <c r="B173" s="11" t="n"/>
      <c r="C173" s="11" t="inlineStr">
        <is>
          <t>Discord</t>
        </is>
      </c>
      <c r="D173" s="11" t="n"/>
      <c r="E173" s="11" t="n"/>
      <c r="F173" s="11">
        <f>IF($E173="","",IF($E173="Dead Lead","Black",IF(IF(ISNUMBER($J173),TODAY()-$J173&gt;3,FALSE),"Red",IF($E173="Reactivation Queue","Red",IF(OR($E173="First Deposit",$E173="Active"),"Green","Yellow")))))</f>
        <v/>
      </c>
      <c r="G173" s="11">
        <f>IF($F173="","",IF($F173="Red",1,IF($F173="Yellow",2,IF($F173="Green",3,4))))</f>
        <v/>
      </c>
      <c r="H173" s="14" t="n"/>
      <c r="I173" s="14" t="n"/>
      <c r="J173" s="12">
        <f>IF($E173="","",IF(AND(ISNUMBER($AD173),ISNUMBER($AE173)),MIN($AD173,$AE173),IF(ISNUMBER($AE173),$AE173,$AD173)))</f>
        <v/>
      </c>
      <c r="K173" s="11">
        <f>IF($E173="","",IF($E173="VIP Transferred",IF(N($AB173)&gt;=3,"Should be Dead Lead (3 attempts, still no deposit) - will auto-update","Day "&amp;CHOOSE(N($AB173)+1,1,2,3)&amp;" URGENT VIP check-in - help them finish KYC and lock in first deposit"),IF(AND($D173="",$E173&lt;&gt;"Dead Lead"),IF(N($T173)&gt;=3,"READY FOR DEAD LEAD (3 attempts, still no sign-up)","GET ROOBET SIGN-UP - "&amp;IFERROR(VLOOKUP($E173,Lists!$C$2:$E$20,2,FALSE),"")),IFERROR(VLOOKUP($E173,Lists!$C$2:$E$20,2,FALSE),""))))&amp;IF($AC173="Yes",IF(N($X173)&gt;=3," | VIP Team checkpoints complete - no more automatic check-ins"," | Day "&amp;CHOOSE(N($X173)+1,1,7,14)&amp;" VIP Team check-in - confirm active/depositing"),"")</f>
        <v/>
      </c>
      <c r="L173" s="11" t="n"/>
      <c r="M173" s="11" t="n"/>
      <c r="N173" s="15" t="n"/>
      <c r="O173" s="11">
        <f>IF($E173="","",IF(AND($E173="Active",$F173="Green"),"Yes","No"))</f>
        <v/>
      </c>
      <c r="P173" s="11" t="n"/>
      <c r="Q173">
        <f>IF($I173="","",ROUND(TODAY()-$I173,0))</f>
        <v/>
      </c>
      <c r="R173">
        <f>IF($B173="",0,IF(OR(AND(ISNUMBER($J173),$J173&lt;=TODAY(),$E173&lt;&gt;"Dead Lead"),AND($D173="",$E173&lt;&gt;"",$E173&lt;&gt;"Dead Lead",OR($I173="",$I173&lt;TODAY()))),1,0))</f>
        <v/>
      </c>
      <c r="S173">
        <f>IF($R173=1,SUMPRODUCT(($R$4:$R$203=1)*(($Q$4:$Q$203&gt;$Q173)+(($Q$4:$Q$203=$Q173)*(ROW($Q$4:$Q$203)&lt;ROW($Q173)))))+1,"")</f>
        <v/>
      </c>
      <c r="T173" s="11">
        <f>IF($B173="","",0)</f>
        <v/>
      </c>
      <c r="U173">
        <f>IF($B173="",0,IF($E173="Dead Lead",1,0))</f>
        <v/>
      </c>
      <c r="V173">
        <f>IF($U173=1,SUMPRODUCT(($U$4:$U$203=1)*(($J$4:$J$203&lt;$J173)+(($J$4:$J$203=$J173)*(ROW($J$4:$J$203)&lt;ROW($J173)))))+1,"")</f>
        <v/>
      </c>
      <c r="W173" s="12">
        <f>IF($B173="","","")</f>
        <v/>
      </c>
      <c r="X173" s="11">
        <f>IF($B173="","",0)</f>
        <v/>
      </c>
      <c r="Y173">
        <f>IF($B173="",0,IF(AND($R173=0,$E173&lt;&gt;"Dead Lead",ISNUMBER($J173),$J173&lt;=TODAY()+7),1,0))</f>
        <v/>
      </c>
      <c r="Z173">
        <f>IF($Y173=1,SUMPRODUCT(($Y$4:$Y$203=1)*(($J$4:$J$203&lt;$J173)+(($J$4:$J$203=$J173)*(ROW($J$4:$J$203)&lt;ROW($J173)))))+1,"")</f>
        <v/>
      </c>
      <c r="AA173" s="12">
        <f>IF($B173="","","")</f>
        <v/>
      </c>
      <c r="AB173" s="11">
        <f>IF($B173="","",0)</f>
        <v/>
      </c>
      <c r="AC173" s="11" t="n"/>
      <c r="AD173">
        <f>IF($E173="","",IF($E173="VIP Transferred",IF($AA173="","",IF(N($AB173)&gt;=3,"N/A - Closed",$AA173+CHOOSE(N($AB173)+1,1,2,3))),IF($I173="","",IF(VLOOKUP($E173,Lists!$C$2:$E$20,3,FALSE)="CLOSED","N/A - Closed",$I173+VLOOKUP($E173,Lists!$C$2:$E$20,3,FALSE)))))</f>
        <v/>
      </c>
      <c r="AE173">
        <f>IF(AND($AC173="Yes",$W173&lt;&gt;"",N($X173)&lt;3),$W173+CHOOSE(N($X173)+1,1,7,14),"")</f>
        <v/>
      </c>
      <c r="AF173" s="12">
        <f>IF($B173="","","")</f>
        <v/>
      </c>
    </row>
    <row r="174">
      <c r="A174" s="11">
        <f>IF($B174="","","YU-"&amp;TEXT(ROW()-3,"0000"))</f>
        <v/>
      </c>
      <c r="B174" s="11" t="n"/>
      <c r="C174" s="11" t="inlineStr">
        <is>
          <t>Discord</t>
        </is>
      </c>
      <c r="D174" s="11" t="n"/>
      <c r="E174" s="11" t="n"/>
      <c r="F174" s="11">
        <f>IF($E174="","",IF($E174="Dead Lead","Black",IF(IF(ISNUMBER($J174),TODAY()-$J174&gt;3,FALSE),"Red",IF($E174="Reactivation Queue","Red",IF(OR($E174="First Deposit",$E174="Active"),"Green","Yellow")))))</f>
        <v/>
      </c>
      <c r="G174" s="11">
        <f>IF($F174="","",IF($F174="Red",1,IF($F174="Yellow",2,IF($F174="Green",3,4))))</f>
        <v/>
      </c>
      <c r="H174" s="14" t="n"/>
      <c r="I174" s="14" t="n"/>
      <c r="J174" s="12">
        <f>IF($E174="","",IF(AND(ISNUMBER($AD174),ISNUMBER($AE174)),MIN($AD174,$AE174),IF(ISNUMBER($AE174),$AE174,$AD174)))</f>
        <v/>
      </c>
      <c r="K174" s="11">
        <f>IF($E174="","",IF($E174="VIP Transferred",IF(N($AB174)&gt;=3,"Should be Dead Lead (3 attempts, still no deposit) - will auto-update","Day "&amp;CHOOSE(N($AB174)+1,1,2,3)&amp;" URGENT VIP check-in - help them finish KYC and lock in first deposit"),IF(AND($D174="",$E174&lt;&gt;"Dead Lead"),IF(N($T174)&gt;=3,"READY FOR DEAD LEAD (3 attempts, still no sign-up)","GET ROOBET SIGN-UP - "&amp;IFERROR(VLOOKUP($E174,Lists!$C$2:$E$20,2,FALSE),"")),IFERROR(VLOOKUP($E174,Lists!$C$2:$E$20,2,FALSE),""))))&amp;IF($AC174="Yes",IF(N($X174)&gt;=3," | VIP Team checkpoints complete - no more automatic check-ins"," | Day "&amp;CHOOSE(N($X174)+1,1,7,14)&amp;" VIP Team check-in - confirm active/depositing"),"")</f>
        <v/>
      </c>
      <c r="L174" s="11" t="n"/>
      <c r="M174" s="11" t="n"/>
      <c r="N174" s="15" t="n"/>
      <c r="O174" s="11">
        <f>IF($E174="","",IF(AND($E174="Active",$F174="Green"),"Yes","No"))</f>
        <v/>
      </c>
      <c r="P174" s="11" t="n"/>
      <c r="Q174">
        <f>IF($I174="","",ROUND(TODAY()-$I174,0))</f>
        <v/>
      </c>
      <c r="R174">
        <f>IF($B174="",0,IF(OR(AND(ISNUMBER($J174),$J174&lt;=TODAY(),$E174&lt;&gt;"Dead Lead"),AND($D174="",$E174&lt;&gt;"",$E174&lt;&gt;"Dead Lead",OR($I174="",$I174&lt;TODAY()))),1,0))</f>
        <v/>
      </c>
      <c r="S174">
        <f>IF($R174=1,SUMPRODUCT(($R$4:$R$203=1)*(($Q$4:$Q$203&gt;$Q174)+(($Q$4:$Q$203=$Q174)*(ROW($Q$4:$Q$203)&lt;ROW($Q174)))))+1,"")</f>
        <v/>
      </c>
      <c r="T174" s="11">
        <f>IF($B174="","",0)</f>
        <v/>
      </c>
      <c r="U174">
        <f>IF($B174="",0,IF($E174="Dead Lead",1,0))</f>
        <v/>
      </c>
      <c r="V174">
        <f>IF($U174=1,SUMPRODUCT(($U$4:$U$203=1)*(($J$4:$J$203&lt;$J174)+(($J$4:$J$203=$J174)*(ROW($J$4:$J$203)&lt;ROW($J174)))))+1,"")</f>
        <v/>
      </c>
      <c r="W174" s="12">
        <f>IF($B174="","","")</f>
        <v/>
      </c>
      <c r="X174" s="11">
        <f>IF($B174="","",0)</f>
        <v/>
      </c>
      <c r="Y174">
        <f>IF($B174="",0,IF(AND($R174=0,$E174&lt;&gt;"Dead Lead",ISNUMBER($J174),$J174&lt;=TODAY()+7),1,0))</f>
        <v/>
      </c>
      <c r="Z174">
        <f>IF($Y174=1,SUMPRODUCT(($Y$4:$Y$203=1)*(($J$4:$J$203&lt;$J174)+(($J$4:$J$203=$J174)*(ROW($J$4:$J$203)&lt;ROW($J174)))))+1,"")</f>
        <v/>
      </c>
      <c r="AA174" s="12">
        <f>IF($B174="","","")</f>
        <v/>
      </c>
      <c r="AB174" s="11">
        <f>IF($B174="","",0)</f>
        <v/>
      </c>
      <c r="AC174" s="11" t="n"/>
      <c r="AD174">
        <f>IF($E174="","",IF($E174="VIP Transferred",IF($AA174="","",IF(N($AB174)&gt;=3,"N/A - Closed",$AA174+CHOOSE(N($AB174)+1,1,2,3))),IF($I174="","",IF(VLOOKUP($E174,Lists!$C$2:$E$20,3,FALSE)="CLOSED","N/A - Closed",$I174+VLOOKUP($E174,Lists!$C$2:$E$20,3,FALSE)))))</f>
        <v/>
      </c>
      <c r="AE174">
        <f>IF(AND($AC174="Yes",$W174&lt;&gt;"",N($X174)&lt;3),$W174+CHOOSE(N($X174)+1,1,7,14),"")</f>
        <v/>
      </c>
      <c r="AF174" s="12">
        <f>IF($B174="","","")</f>
        <v/>
      </c>
    </row>
    <row r="175">
      <c r="A175" s="11">
        <f>IF($B175="","","YU-"&amp;TEXT(ROW()-3,"0000"))</f>
        <v/>
      </c>
      <c r="B175" s="11" t="n"/>
      <c r="C175" s="11" t="inlineStr">
        <is>
          <t>Discord</t>
        </is>
      </c>
      <c r="D175" s="11" t="n"/>
      <c r="E175" s="11" t="n"/>
      <c r="F175" s="11">
        <f>IF($E175="","",IF($E175="Dead Lead","Black",IF(IF(ISNUMBER($J175),TODAY()-$J175&gt;3,FALSE),"Red",IF($E175="Reactivation Queue","Red",IF(OR($E175="First Deposit",$E175="Active"),"Green","Yellow")))))</f>
        <v/>
      </c>
      <c r="G175" s="11">
        <f>IF($F175="","",IF($F175="Red",1,IF($F175="Yellow",2,IF($F175="Green",3,4))))</f>
        <v/>
      </c>
      <c r="H175" s="14" t="n"/>
      <c r="I175" s="14" t="n"/>
      <c r="J175" s="12">
        <f>IF($E175="","",IF(AND(ISNUMBER($AD175),ISNUMBER($AE175)),MIN($AD175,$AE175),IF(ISNUMBER($AE175),$AE175,$AD175)))</f>
        <v/>
      </c>
      <c r="K175" s="11">
        <f>IF($E175="","",IF($E175="VIP Transferred",IF(N($AB175)&gt;=3,"Should be Dead Lead (3 attempts, still no deposit) - will auto-update","Day "&amp;CHOOSE(N($AB175)+1,1,2,3)&amp;" URGENT VIP check-in - help them finish KYC and lock in first deposit"),IF(AND($D175="",$E175&lt;&gt;"Dead Lead"),IF(N($T175)&gt;=3,"READY FOR DEAD LEAD (3 attempts, still no sign-up)","GET ROOBET SIGN-UP - "&amp;IFERROR(VLOOKUP($E175,Lists!$C$2:$E$20,2,FALSE),"")),IFERROR(VLOOKUP($E175,Lists!$C$2:$E$20,2,FALSE),""))))&amp;IF($AC175="Yes",IF(N($X175)&gt;=3," | VIP Team checkpoints complete - no more automatic check-ins"," | Day "&amp;CHOOSE(N($X175)+1,1,7,14)&amp;" VIP Team check-in - confirm active/depositing"),"")</f>
        <v/>
      </c>
      <c r="L175" s="11" t="n"/>
      <c r="M175" s="11" t="n"/>
      <c r="N175" s="15" t="n"/>
      <c r="O175" s="11">
        <f>IF($E175="","",IF(AND($E175="Active",$F175="Green"),"Yes","No"))</f>
        <v/>
      </c>
      <c r="P175" s="11" t="n"/>
      <c r="Q175">
        <f>IF($I175="","",ROUND(TODAY()-$I175,0))</f>
        <v/>
      </c>
      <c r="R175">
        <f>IF($B175="",0,IF(OR(AND(ISNUMBER($J175),$J175&lt;=TODAY(),$E175&lt;&gt;"Dead Lead"),AND($D175="",$E175&lt;&gt;"",$E175&lt;&gt;"Dead Lead",OR($I175="",$I175&lt;TODAY()))),1,0))</f>
        <v/>
      </c>
      <c r="S175">
        <f>IF($R175=1,SUMPRODUCT(($R$4:$R$203=1)*(($Q$4:$Q$203&gt;$Q175)+(($Q$4:$Q$203=$Q175)*(ROW($Q$4:$Q$203)&lt;ROW($Q175)))))+1,"")</f>
        <v/>
      </c>
      <c r="T175" s="11">
        <f>IF($B175="","",0)</f>
        <v/>
      </c>
      <c r="U175">
        <f>IF($B175="",0,IF($E175="Dead Lead",1,0))</f>
        <v/>
      </c>
      <c r="V175">
        <f>IF($U175=1,SUMPRODUCT(($U$4:$U$203=1)*(($J$4:$J$203&lt;$J175)+(($J$4:$J$203=$J175)*(ROW($J$4:$J$203)&lt;ROW($J175)))))+1,"")</f>
        <v/>
      </c>
      <c r="W175" s="12">
        <f>IF($B175="","","")</f>
        <v/>
      </c>
      <c r="X175" s="11">
        <f>IF($B175="","",0)</f>
        <v/>
      </c>
      <c r="Y175">
        <f>IF($B175="",0,IF(AND($R175=0,$E175&lt;&gt;"Dead Lead",ISNUMBER($J175),$J175&lt;=TODAY()+7),1,0))</f>
        <v/>
      </c>
      <c r="Z175">
        <f>IF($Y175=1,SUMPRODUCT(($Y$4:$Y$203=1)*(($J$4:$J$203&lt;$J175)+(($J$4:$J$203=$J175)*(ROW($J$4:$J$203)&lt;ROW($J175)))))+1,"")</f>
        <v/>
      </c>
      <c r="AA175" s="12">
        <f>IF($B175="","","")</f>
        <v/>
      </c>
      <c r="AB175" s="11">
        <f>IF($B175="","",0)</f>
        <v/>
      </c>
      <c r="AC175" s="11" t="n"/>
      <c r="AD175">
        <f>IF($E175="","",IF($E175="VIP Transferred",IF($AA175="","",IF(N($AB175)&gt;=3,"N/A - Closed",$AA175+CHOOSE(N($AB175)+1,1,2,3))),IF($I175="","",IF(VLOOKUP($E175,Lists!$C$2:$E$20,3,FALSE)="CLOSED","N/A - Closed",$I175+VLOOKUP($E175,Lists!$C$2:$E$20,3,FALSE)))))</f>
        <v/>
      </c>
      <c r="AE175">
        <f>IF(AND($AC175="Yes",$W175&lt;&gt;"",N($X175)&lt;3),$W175+CHOOSE(N($X175)+1,1,7,14),"")</f>
        <v/>
      </c>
      <c r="AF175" s="12">
        <f>IF($B175="","","")</f>
        <v/>
      </c>
    </row>
    <row r="176">
      <c r="A176" s="11">
        <f>IF($B176="","","YU-"&amp;TEXT(ROW()-3,"0000"))</f>
        <v/>
      </c>
      <c r="B176" s="11" t="n"/>
      <c r="C176" s="11" t="inlineStr">
        <is>
          <t>Discord</t>
        </is>
      </c>
      <c r="D176" s="11" t="n"/>
      <c r="E176" s="11" t="n"/>
      <c r="F176" s="11">
        <f>IF($E176="","",IF($E176="Dead Lead","Black",IF(IF(ISNUMBER($J176),TODAY()-$J176&gt;3,FALSE),"Red",IF($E176="Reactivation Queue","Red",IF(OR($E176="First Deposit",$E176="Active"),"Green","Yellow")))))</f>
        <v/>
      </c>
      <c r="G176" s="11">
        <f>IF($F176="","",IF($F176="Red",1,IF($F176="Yellow",2,IF($F176="Green",3,4))))</f>
        <v/>
      </c>
      <c r="H176" s="14" t="n"/>
      <c r="I176" s="14" t="n"/>
      <c r="J176" s="12">
        <f>IF($E176="","",IF(AND(ISNUMBER($AD176),ISNUMBER($AE176)),MIN($AD176,$AE176),IF(ISNUMBER($AE176),$AE176,$AD176)))</f>
        <v/>
      </c>
      <c r="K176" s="11">
        <f>IF($E176="","",IF($E176="VIP Transferred",IF(N($AB176)&gt;=3,"Should be Dead Lead (3 attempts, still no deposit) - will auto-update","Day "&amp;CHOOSE(N($AB176)+1,1,2,3)&amp;" URGENT VIP check-in - help them finish KYC and lock in first deposit"),IF(AND($D176="",$E176&lt;&gt;"Dead Lead"),IF(N($T176)&gt;=3,"READY FOR DEAD LEAD (3 attempts, still no sign-up)","GET ROOBET SIGN-UP - "&amp;IFERROR(VLOOKUP($E176,Lists!$C$2:$E$20,2,FALSE),"")),IFERROR(VLOOKUP($E176,Lists!$C$2:$E$20,2,FALSE),""))))&amp;IF($AC176="Yes",IF(N($X176)&gt;=3," | VIP Team checkpoints complete - no more automatic check-ins"," | Day "&amp;CHOOSE(N($X176)+1,1,7,14)&amp;" VIP Team check-in - confirm active/depositing"),"")</f>
        <v/>
      </c>
      <c r="L176" s="11" t="n"/>
      <c r="M176" s="11" t="n"/>
      <c r="N176" s="15" t="n"/>
      <c r="O176" s="11">
        <f>IF($E176="","",IF(AND($E176="Active",$F176="Green"),"Yes","No"))</f>
        <v/>
      </c>
      <c r="P176" s="11" t="n"/>
      <c r="Q176">
        <f>IF($I176="","",ROUND(TODAY()-$I176,0))</f>
        <v/>
      </c>
      <c r="R176">
        <f>IF($B176="",0,IF(OR(AND(ISNUMBER($J176),$J176&lt;=TODAY(),$E176&lt;&gt;"Dead Lead"),AND($D176="",$E176&lt;&gt;"",$E176&lt;&gt;"Dead Lead",OR($I176="",$I176&lt;TODAY()))),1,0))</f>
        <v/>
      </c>
      <c r="S176">
        <f>IF($R176=1,SUMPRODUCT(($R$4:$R$203=1)*(($Q$4:$Q$203&gt;$Q176)+(($Q$4:$Q$203=$Q176)*(ROW($Q$4:$Q$203)&lt;ROW($Q176)))))+1,"")</f>
        <v/>
      </c>
      <c r="T176" s="11">
        <f>IF($B176="","",0)</f>
        <v/>
      </c>
      <c r="U176">
        <f>IF($B176="",0,IF($E176="Dead Lead",1,0))</f>
        <v/>
      </c>
      <c r="V176">
        <f>IF($U176=1,SUMPRODUCT(($U$4:$U$203=1)*(($J$4:$J$203&lt;$J176)+(($J$4:$J$203=$J176)*(ROW($J$4:$J$203)&lt;ROW($J176)))))+1,"")</f>
        <v/>
      </c>
      <c r="W176" s="12">
        <f>IF($B176="","","")</f>
        <v/>
      </c>
      <c r="X176" s="11">
        <f>IF($B176="","",0)</f>
        <v/>
      </c>
      <c r="Y176">
        <f>IF($B176="",0,IF(AND($R176=0,$E176&lt;&gt;"Dead Lead",ISNUMBER($J176),$J176&lt;=TODAY()+7),1,0))</f>
        <v/>
      </c>
      <c r="Z176">
        <f>IF($Y176=1,SUMPRODUCT(($Y$4:$Y$203=1)*(($J$4:$J$203&lt;$J176)+(($J$4:$J$203=$J176)*(ROW($J$4:$J$203)&lt;ROW($J176)))))+1,"")</f>
        <v/>
      </c>
      <c r="AA176" s="12">
        <f>IF($B176="","","")</f>
        <v/>
      </c>
      <c r="AB176" s="11">
        <f>IF($B176="","",0)</f>
        <v/>
      </c>
      <c r="AC176" s="11" t="n"/>
      <c r="AD176">
        <f>IF($E176="","",IF($E176="VIP Transferred",IF($AA176="","",IF(N($AB176)&gt;=3,"N/A - Closed",$AA176+CHOOSE(N($AB176)+1,1,2,3))),IF($I176="","",IF(VLOOKUP($E176,Lists!$C$2:$E$20,3,FALSE)="CLOSED","N/A - Closed",$I176+VLOOKUP($E176,Lists!$C$2:$E$20,3,FALSE)))))</f>
        <v/>
      </c>
      <c r="AE176">
        <f>IF(AND($AC176="Yes",$W176&lt;&gt;"",N($X176)&lt;3),$W176+CHOOSE(N($X176)+1,1,7,14),"")</f>
        <v/>
      </c>
      <c r="AF176" s="12">
        <f>IF($B176="","","")</f>
        <v/>
      </c>
    </row>
    <row r="177">
      <c r="A177" s="11">
        <f>IF($B177="","","YU-"&amp;TEXT(ROW()-3,"0000"))</f>
        <v/>
      </c>
      <c r="B177" s="11" t="n"/>
      <c r="C177" s="11" t="inlineStr">
        <is>
          <t>Discord</t>
        </is>
      </c>
      <c r="D177" s="11" t="n"/>
      <c r="E177" s="11" t="n"/>
      <c r="F177" s="11">
        <f>IF($E177="","",IF($E177="Dead Lead","Black",IF(IF(ISNUMBER($J177),TODAY()-$J177&gt;3,FALSE),"Red",IF($E177="Reactivation Queue","Red",IF(OR($E177="First Deposit",$E177="Active"),"Green","Yellow")))))</f>
        <v/>
      </c>
      <c r="G177" s="11">
        <f>IF($F177="","",IF($F177="Red",1,IF($F177="Yellow",2,IF($F177="Green",3,4))))</f>
        <v/>
      </c>
      <c r="H177" s="14" t="n"/>
      <c r="I177" s="14" t="n"/>
      <c r="J177" s="12">
        <f>IF($E177="","",IF(AND(ISNUMBER($AD177),ISNUMBER($AE177)),MIN($AD177,$AE177),IF(ISNUMBER($AE177),$AE177,$AD177)))</f>
        <v/>
      </c>
      <c r="K177" s="11">
        <f>IF($E177="","",IF($E177="VIP Transferred",IF(N($AB177)&gt;=3,"Should be Dead Lead (3 attempts, still no deposit) - will auto-update","Day "&amp;CHOOSE(N($AB177)+1,1,2,3)&amp;" URGENT VIP check-in - help them finish KYC and lock in first deposit"),IF(AND($D177="",$E177&lt;&gt;"Dead Lead"),IF(N($T177)&gt;=3,"READY FOR DEAD LEAD (3 attempts, still no sign-up)","GET ROOBET SIGN-UP - "&amp;IFERROR(VLOOKUP($E177,Lists!$C$2:$E$20,2,FALSE),"")),IFERROR(VLOOKUP($E177,Lists!$C$2:$E$20,2,FALSE),""))))&amp;IF($AC177="Yes",IF(N($X177)&gt;=3," | VIP Team checkpoints complete - no more automatic check-ins"," | Day "&amp;CHOOSE(N($X177)+1,1,7,14)&amp;" VIP Team check-in - confirm active/depositing"),"")</f>
        <v/>
      </c>
      <c r="L177" s="11" t="n"/>
      <c r="M177" s="11" t="n"/>
      <c r="N177" s="15" t="n"/>
      <c r="O177" s="11">
        <f>IF($E177="","",IF(AND($E177="Active",$F177="Green"),"Yes","No"))</f>
        <v/>
      </c>
      <c r="P177" s="11" t="n"/>
      <c r="Q177">
        <f>IF($I177="","",ROUND(TODAY()-$I177,0))</f>
        <v/>
      </c>
      <c r="R177">
        <f>IF($B177="",0,IF(OR(AND(ISNUMBER($J177),$J177&lt;=TODAY(),$E177&lt;&gt;"Dead Lead"),AND($D177="",$E177&lt;&gt;"",$E177&lt;&gt;"Dead Lead",OR($I177="",$I177&lt;TODAY()))),1,0))</f>
        <v/>
      </c>
      <c r="S177">
        <f>IF($R177=1,SUMPRODUCT(($R$4:$R$203=1)*(($Q$4:$Q$203&gt;$Q177)+(($Q$4:$Q$203=$Q177)*(ROW($Q$4:$Q$203)&lt;ROW($Q177)))))+1,"")</f>
        <v/>
      </c>
      <c r="T177" s="11">
        <f>IF($B177="","",0)</f>
        <v/>
      </c>
      <c r="U177">
        <f>IF($B177="",0,IF($E177="Dead Lead",1,0))</f>
        <v/>
      </c>
      <c r="V177">
        <f>IF($U177=1,SUMPRODUCT(($U$4:$U$203=1)*(($J$4:$J$203&lt;$J177)+(($J$4:$J$203=$J177)*(ROW($J$4:$J$203)&lt;ROW($J177)))))+1,"")</f>
        <v/>
      </c>
      <c r="W177" s="12">
        <f>IF($B177="","","")</f>
        <v/>
      </c>
      <c r="X177" s="11">
        <f>IF($B177="","",0)</f>
        <v/>
      </c>
      <c r="Y177">
        <f>IF($B177="",0,IF(AND($R177=0,$E177&lt;&gt;"Dead Lead",ISNUMBER($J177),$J177&lt;=TODAY()+7),1,0))</f>
        <v/>
      </c>
      <c r="Z177">
        <f>IF($Y177=1,SUMPRODUCT(($Y$4:$Y$203=1)*(($J$4:$J$203&lt;$J177)+(($J$4:$J$203=$J177)*(ROW($J$4:$J$203)&lt;ROW($J177)))))+1,"")</f>
        <v/>
      </c>
      <c r="AA177" s="12">
        <f>IF($B177="","","")</f>
        <v/>
      </c>
      <c r="AB177" s="11">
        <f>IF($B177="","",0)</f>
        <v/>
      </c>
      <c r="AC177" s="11" t="n"/>
      <c r="AD177">
        <f>IF($E177="","",IF($E177="VIP Transferred",IF($AA177="","",IF(N($AB177)&gt;=3,"N/A - Closed",$AA177+CHOOSE(N($AB177)+1,1,2,3))),IF($I177="","",IF(VLOOKUP($E177,Lists!$C$2:$E$20,3,FALSE)="CLOSED","N/A - Closed",$I177+VLOOKUP($E177,Lists!$C$2:$E$20,3,FALSE)))))</f>
        <v/>
      </c>
      <c r="AE177">
        <f>IF(AND($AC177="Yes",$W177&lt;&gt;"",N($X177)&lt;3),$W177+CHOOSE(N($X177)+1,1,7,14),"")</f>
        <v/>
      </c>
      <c r="AF177" s="12">
        <f>IF($B177="","","")</f>
        <v/>
      </c>
    </row>
    <row r="178">
      <c r="A178" s="11">
        <f>IF($B178="","","YU-"&amp;TEXT(ROW()-3,"0000"))</f>
        <v/>
      </c>
      <c r="B178" s="11" t="n"/>
      <c r="C178" s="11" t="inlineStr">
        <is>
          <t>Discord</t>
        </is>
      </c>
      <c r="D178" s="11" t="n"/>
      <c r="E178" s="11" t="n"/>
      <c r="F178" s="11">
        <f>IF($E178="","",IF($E178="Dead Lead","Black",IF(IF(ISNUMBER($J178),TODAY()-$J178&gt;3,FALSE),"Red",IF($E178="Reactivation Queue","Red",IF(OR($E178="First Deposit",$E178="Active"),"Green","Yellow")))))</f>
        <v/>
      </c>
      <c r="G178" s="11">
        <f>IF($F178="","",IF($F178="Red",1,IF($F178="Yellow",2,IF($F178="Green",3,4))))</f>
        <v/>
      </c>
      <c r="H178" s="14" t="n"/>
      <c r="I178" s="14" t="n"/>
      <c r="J178" s="12">
        <f>IF($E178="","",IF(AND(ISNUMBER($AD178),ISNUMBER($AE178)),MIN($AD178,$AE178),IF(ISNUMBER($AE178),$AE178,$AD178)))</f>
        <v/>
      </c>
      <c r="K178" s="11">
        <f>IF($E178="","",IF($E178="VIP Transferred",IF(N($AB178)&gt;=3,"Should be Dead Lead (3 attempts, still no deposit) - will auto-update","Day "&amp;CHOOSE(N($AB178)+1,1,2,3)&amp;" URGENT VIP check-in - help them finish KYC and lock in first deposit"),IF(AND($D178="",$E178&lt;&gt;"Dead Lead"),IF(N($T178)&gt;=3,"READY FOR DEAD LEAD (3 attempts, still no sign-up)","GET ROOBET SIGN-UP - "&amp;IFERROR(VLOOKUP($E178,Lists!$C$2:$E$20,2,FALSE),"")),IFERROR(VLOOKUP($E178,Lists!$C$2:$E$20,2,FALSE),""))))&amp;IF($AC178="Yes",IF(N($X178)&gt;=3," | VIP Team checkpoints complete - no more automatic check-ins"," | Day "&amp;CHOOSE(N($X178)+1,1,7,14)&amp;" VIP Team check-in - confirm active/depositing"),"")</f>
        <v/>
      </c>
      <c r="L178" s="11" t="n"/>
      <c r="M178" s="11" t="n"/>
      <c r="N178" s="15" t="n"/>
      <c r="O178" s="11">
        <f>IF($E178="","",IF(AND($E178="Active",$F178="Green"),"Yes","No"))</f>
        <v/>
      </c>
      <c r="P178" s="11" t="n"/>
      <c r="Q178">
        <f>IF($I178="","",ROUND(TODAY()-$I178,0))</f>
        <v/>
      </c>
      <c r="R178">
        <f>IF($B178="",0,IF(OR(AND(ISNUMBER($J178),$J178&lt;=TODAY(),$E178&lt;&gt;"Dead Lead"),AND($D178="",$E178&lt;&gt;"",$E178&lt;&gt;"Dead Lead",OR($I178="",$I178&lt;TODAY()))),1,0))</f>
        <v/>
      </c>
      <c r="S178">
        <f>IF($R178=1,SUMPRODUCT(($R$4:$R$203=1)*(($Q$4:$Q$203&gt;$Q178)+(($Q$4:$Q$203=$Q178)*(ROW($Q$4:$Q$203)&lt;ROW($Q178)))))+1,"")</f>
        <v/>
      </c>
      <c r="T178" s="11">
        <f>IF($B178="","",0)</f>
        <v/>
      </c>
      <c r="U178">
        <f>IF($B178="",0,IF($E178="Dead Lead",1,0))</f>
        <v/>
      </c>
      <c r="V178">
        <f>IF($U178=1,SUMPRODUCT(($U$4:$U$203=1)*(($J$4:$J$203&lt;$J178)+(($J$4:$J$203=$J178)*(ROW($J$4:$J$203)&lt;ROW($J178)))))+1,"")</f>
        <v/>
      </c>
      <c r="W178" s="12">
        <f>IF($B178="","","")</f>
        <v/>
      </c>
      <c r="X178" s="11">
        <f>IF($B178="","",0)</f>
        <v/>
      </c>
      <c r="Y178">
        <f>IF($B178="",0,IF(AND($R178=0,$E178&lt;&gt;"Dead Lead",ISNUMBER($J178),$J178&lt;=TODAY()+7),1,0))</f>
        <v/>
      </c>
      <c r="Z178">
        <f>IF($Y178=1,SUMPRODUCT(($Y$4:$Y$203=1)*(($J$4:$J$203&lt;$J178)+(($J$4:$J$203=$J178)*(ROW($J$4:$J$203)&lt;ROW($J178)))))+1,"")</f>
        <v/>
      </c>
      <c r="AA178" s="12">
        <f>IF($B178="","","")</f>
        <v/>
      </c>
      <c r="AB178" s="11">
        <f>IF($B178="","",0)</f>
        <v/>
      </c>
      <c r="AC178" s="11" t="n"/>
      <c r="AD178">
        <f>IF($E178="","",IF($E178="VIP Transferred",IF($AA178="","",IF(N($AB178)&gt;=3,"N/A - Closed",$AA178+CHOOSE(N($AB178)+1,1,2,3))),IF($I178="","",IF(VLOOKUP($E178,Lists!$C$2:$E$20,3,FALSE)="CLOSED","N/A - Closed",$I178+VLOOKUP($E178,Lists!$C$2:$E$20,3,FALSE)))))</f>
        <v/>
      </c>
      <c r="AE178">
        <f>IF(AND($AC178="Yes",$W178&lt;&gt;"",N($X178)&lt;3),$W178+CHOOSE(N($X178)+1,1,7,14),"")</f>
        <v/>
      </c>
      <c r="AF178" s="12">
        <f>IF($B178="","","")</f>
        <v/>
      </c>
    </row>
    <row r="179">
      <c r="A179" s="11">
        <f>IF($B179="","","YU-"&amp;TEXT(ROW()-3,"0000"))</f>
        <v/>
      </c>
      <c r="B179" s="11" t="n"/>
      <c r="C179" s="11" t="inlineStr">
        <is>
          <t>Discord</t>
        </is>
      </c>
      <c r="D179" s="11" t="n"/>
      <c r="E179" s="11" t="n"/>
      <c r="F179" s="11">
        <f>IF($E179="","",IF($E179="Dead Lead","Black",IF(IF(ISNUMBER($J179),TODAY()-$J179&gt;3,FALSE),"Red",IF($E179="Reactivation Queue","Red",IF(OR($E179="First Deposit",$E179="Active"),"Green","Yellow")))))</f>
        <v/>
      </c>
      <c r="G179" s="11">
        <f>IF($F179="","",IF($F179="Red",1,IF($F179="Yellow",2,IF($F179="Green",3,4))))</f>
        <v/>
      </c>
      <c r="H179" s="14" t="n"/>
      <c r="I179" s="14" t="n"/>
      <c r="J179" s="12">
        <f>IF($E179="","",IF(AND(ISNUMBER($AD179),ISNUMBER($AE179)),MIN($AD179,$AE179),IF(ISNUMBER($AE179),$AE179,$AD179)))</f>
        <v/>
      </c>
      <c r="K179" s="11">
        <f>IF($E179="","",IF($E179="VIP Transferred",IF(N($AB179)&gt;=3,"Should be Dead Lead (3 attempts, still no deposit) - will auto-update","Day "&amp;CHOOSE(N($AB179)+1,1,2,3)&amp;" URGENT VIP check-in - help them finish KYC and lock in first deposit"),IF(AND($D179="",$E179&lt;&gt;"Dead Lead"),IF(N($T179)&gt;=3,"READY FOR DEAD LEAD (3 attempts, still no sign-up)","GET ROOBET SIGN-UP - "&amp;IFERROR(VLOOKUP($E179,Lists!$C$2:$E$20,2,FALSE),"")),IFERROR(VLOOKUP($E179,Lists!$C$2:$E$20,2,FALSE),""))))&amp;IF($AC179="Yes",IF(N($X179)&gt;=3," | VIP Team checkpoints complete - no more automatic check-ins"," | Day "&amp;CHOOSE(N($X179)+1,1,7,14)&amp;" VIP Team check-in - confirm active/depositing"),"")</f>
        <v/>
      </c>
      <c r="L179" s="11" t="n"/>
      <c r="M179" s="11" t="n"/>
      <c r="N179" s="15" t="n"/>
      <c r="O179" s="11">
        <f>IF($E179="","",IF(AND($E179="Active",$F179="Green"),"Yes","No"))</f>
        <v/>
      </c>
      <c r="P179" s="11" t="n"/>
      <c r="Q179">
        <f>IF($I179="","",ROUND(TODAY()-$I179,0))</f>
        <v/>
      </c>
      <c r="R179">
        <f>IF($B179="",0,IF(OR(AND(ISNUMBER($J179),$J179&lt;=TODAY(),$E179&lt;&gt;"Dead Lead"),AND($D179="",$E179&lt;&gt;"",$E179&lt;&gt;"Dead Lead",OR($I179="",$I179&lt;TODAY()))),1,0))</f>
        <v/>
      </c>
      <c r="S179">
        <f>IF($R179=1,SUMPRODUCT(($R$4:$R$203=1)*(($Q$4:$Q$203&gt;$Q179)+(($Q$4:$Q$203=$Q179)*(ROW($Q$4:$Q$203)&lt;ROW($Q179)))))+1,"")</f>
        <v/>
      </c>
      <c r="T179" s="11">
        <f>IF($B179="","",0)</f>
        <v/>
      </c>
      <c r="U179">
        <f>IF($B179="",0,IF($E179="Dead Lead",1,0))</f>
        <v/>
      </c>
      <c r="V179">
        <f>IF($U179=1,SUMPRODUCT(($U$4:$U$203=1)*(($J$4:$J$203&lt;$J179)+(($J$4:$J$203=$J179)*(ROW($J$4:$J$203)&lt;ROW($J179)))))+1,"")</f>
        <v/>
      </c>
      <c r="W179" s="12">
        <f>IF($B179="","","")</f>
        <v/>
      </c>
      <c r="X179" s="11">
        <f>IF($B179="","",0)</f>
        <v/>
      </c>
      <c r="Y179">
        <f>IF($B179="",0,IF(AND($R179=0,$E179&lt;&gt;"Dead Lead",ISNUMBER($J179),$J179&lt;=TODAY()+7),1,0))</f>
        <v/>
      </c>
      <c r="Z179">
        <f>IF($Y179=1,SUMPRODUCT(($Y$4:$Y$203=1)*(($J$4:$J$203&lt;$J179)+(($J$4:$J$203=$J179)*(ROW($J$4:$J$203)&lt;ROW($J179)))))+1,"")</f>
        <v/>
      </c>
      <c r="AA179" s="12">
        <f>IF($B179="","","")</f>
        <v/>
      </c>
      <c r="AB179" s="11">
        <f>IF($B179="","",0)</f>
        <v/>
      </c>
      <c r="AC179" s="11" t="n"/>
      <c r="AD179">
        <f>IF($E179="","",IF($E179="VIP Transferred",IF($AA179="","",IF(N($AB179)&gt;=3,"N/A - Closed",$AA179+CHOOSE(N($AB179)+1,1,2,3))),IF($I179="","",IF(VLOOKUP($E179,Lists!$C$2:$E$20,3,FALSE)="CLOSED","N/A - Closed",$I179+VLOOKUP($E179,Lists!$C$2:$E$20,3,FALSE)))))</f>
        <v/>
      </c>
      <c r="AE179">
        <f>IF(AND($AC179="Yes",$W179&lt;&gt;"",N($X179)&lt;3),$W179+CHOOSE(N($X179)+1,1,7,14),"")</f>
        <v/>
      </c>
      <c r="AF179" s="12">
        <f>IF($B179="","","")</f>
        <v/>
      </c>
    </row>
    <row r="180">
      <c r="A180" s="11">
        <f>IF($B180="","","YU-"&amp;TEXT(ROW()-3,"0000"))</f>
        <v/>
      </c>
      <c r="B180" s="11" t="n"/>
      <c r="C180" s="11" t="inlineStr">
        <is>
          <t>Discord</t>
        </is>
      </c>
      <c r="D180" s="11" t="n"/>
      <c r="E180" s="11" t="n"/>
      <c r="F180" s="11">
        <f>IF($E180="","",IF($E180="Dead Lead","Black",IF(IF(ISNUMBER($J180),TODAY()-$J180&gt;3,FALSE),"Red",IF($E180="Reactivation Queue","Red",IF(OR($E180="First Deposit",$E180="Active"),"Green","Yellow")))))</f>
        <v/>
      </c>
      <c r="G180" s="11">
        <f>IF($F180="","",IF($F180="Red",1,IF($F180="Yellow",2,IF($F180="Green",3,4))))</f>
        <v/>
      </c>
      <c r="H180" s="14" t="n"/>
      <c r="I180" s="14" t="n"/>
      <c r="J180" s="12">
        <f>IF($E180="","",IF(AND(ISNUMBER($AD180),ISNUMBER($AE180)),MIN($AD180,$AE180),IF(ISNUMBER($AE180),$AE180,$AD180)))</f>
        <v/>
      </c>
      <c r="K180" s="11">
        <f>IF($E180="","",IF($E180="VIP Transferred",IF(N($AB180)&gt;=3,"Should be Dead Lead (3 attempts, still no deposit) - will auto-update","Day "&amp;CHOOSE(N($AB180)+1,1,2,3)&amp;" URGENT VIP check-in - help them finish KYC and lock in first deposit"),IF(AND($D180="",$E180&lt;&gt;"Dead Lead"),IF(N($T180)&gt;=3,"READY FOR DEAD LEAD (3 attempts, still no sign-up)","GET ROOBET SIGN-UP - "&amp;IFERROR(VLOOKUP($E180,Lists!$C$2:$E$20,2,FALSE),"")),IFERROR(VLOOKUP($E180,Lists!$C$2:$E$20,2,FALSE),""))))&amp;IF($AC180="Yes",IF(N($X180)&gt;=3," | VIP Team checkpoints complete - no more automatic check-ins"," | Day "&amp;CHOOSE(N($X180)+1,1,7,14)&amp;" VIP Team check-in - confirm active/depositing"),"")</f>
        <v/>
      </c>
      <c r="L180" s="11" t="n"/>
      <c r="M180" s="11" t="n"/>
      <c r="N180" s="15" t="n"/>
      <c r="O180" s="11">
        <f>IF($E180="","",IF(AND($E180="Active",$F180="Green"),"Yes","No"))</f>
        <v/>
      </c>
      <c r="P180" s="11" t="n"/>
      <c r="Q180">
        <f>IF($I180="","",ROUND(TODAY()-$I180,0))</f>
        <v/>
      </c>
      <c r="R180">
        <f>IF($B180="",0,IF(OR(AND(ISNUMBER($J180),$J180&lt;=TODAY(),$E180&lt;&gt;"Dead Lead"),AND($D180="",$E180&lt;&gt;"",$E180&lt;&gt;"Dead Lead",OR($I180="",$I180&lt;TODAY()))),1,0))</f>
        <v/>
      </c>
      <c r="S180">
        <f>IF($R180=1,SUMPRODUCT(($R$4:$R$203=1)*(($Q$4:$Q$203&gt;$Q180)+(($Q$4:$Q$203=$Q180)*(ROW($Q$4:$Q$203)&lt;ROW($Q180)))))+1,"")</f>
        <v/>
      </c>
      <c r="T180" s="11">
        <f>IF($B180="","",0)</f>
        <v/>
      </c>
      <c r="U180">
        <f>IF($B180="",0,IF($E180="Dead Lead",1,0))</f>
        <v/>
      </c>
      <c r="V180">
        <f>IF($U180=1,SUMPRODUCT(($U$4:$U$203=1)*(($J$4:$J$203&lt;$J180)+(($J$4:$J$203=$J180)*(ROW($J$4:$J$203)&lt;ROW($J180)))))+1,"")</f>
        <v/>
      </c>
      <c r="W180" s="12">
        <f>IF($B180="","","")</f>
        <v/>
      </c>
      <c r="X180" s="11">
        <f>IF($B180="","",0)</f>
        <v/>
      </c>
      <c r="Y180">
        <f>IF($B180="",0,IF(AND($R180=0,$E180&lt;&gt;"Dead Lead",ISNUMBER($J180),$J180&lt;=TODAY()+7),1,0))</f>
        <v/>
      </c>
      <c r="Z180">
        <f>IF($Y180=1,SUMPRODUCT(($Y$4:$Y$203=1)*(($J$4:$J$203&lt;$J180)+(($J$4:$J$203=$J180)*(ROW($J$4:$J$203)&lt;ROW($J180)))))+1,"")</f>
        <v/>
      </c>
      <c r="AA180" s="12">
        <f>IF($B180="","","")</f>
        <v/>
      </c>
      <c r="AB180" s="11">
        <f>IF($B180="","",0)</f>
        <v/>
      </c>
      <c r="AC180" s="11" t="n"/>
      <c r="AD180">
        <f>IF($E180="","",IF($E180="VIP Transferred",IF($AA180="","",IF(N($AB180)&gt;=3,"N/A - Closed",$AA180+CHOOSE(N($AB180)+1,1,2,3))),IF($I180="","",IF(VLOOKUP($E180,Lists!$C$2:$E$20,3,FALSE)="CLOSED","N/A - Closed",$I180+VLOOKUP($E180,Lists!$C$2:$E$20,3,FALSE)))))</f>
        <v/>
      </c>
      <c r="AE180">
        <f>IF(AND($AC180="Yes",$W180&lt;&gt;"",N($X180)&lt;3),$W180+CHOOSE(N($X180)+1,1,7,14),"")</f>
        <v/>
      </c>
      <c r="AF180" s="12">
        <f>IF($B180="","","")</f>
        <v/>
      </c>
    </row>
    <row r="181">
      <c r="A181" s="11">
        <f>IF($B181="","","YU-"&amp;TEXT(ROW()-3,"0000"))</f>
        <v/>
      </c>
      <c r="B181" s="11" t="n"/>
      <c r="C181" s="11" t="inlineStr">
        <is>
          <t>Discord</t>
        </is>
      </c>
      <c r="D181" s="11" t="n"/>
      <c r="E181" s="11" t="n"/>
      <c r="F181" s="11">
        <f>IF($E181="","",IF($E181="Dead Lead","Black",IF(IF(ISNUMBER($J181),TODAY()-$J181&gt;3,FALSE),"Red",IF($E181="Reactivation Queue","Red",IF(OR($E181="First Deposit",$E181="Active"),"Green","Yellow")))))</f>
        <v/>
      </c>
      <c r="G181" s="11">
        <f>IF($F181="","",IF($F181="Red",1,IF($F181="Yellow",2,IF($F181="Green",3,4))))</f>
        <v/>
      </c>
      <c r="H181" s="14" t="n"/>
      <c r="I181" s="14" t="n"/>
      <c r="J181" s="12">
        <f>IF($E181="","",IF(AND(ISNUMBER($AD181),ISNUMBER($AE181)),MIN($AD181,$AE181),IF(ISNUMBER($AE181),$AE181,$AD181)))</f>
        <v/>
      </c>
      <c r="K181" s="11">
        <f>IF($E181="","",IF($E181="VIP Transferred",IF(N($AB181)&gt;=3,"Should be Dead Lead (3 attempts, still no deposit) - will auto-update","Day "&amp;CHOOSE(N($AB181)+1,1,2,3)&amp;" URGENT VIP check-in - help them finish KYC and lock in first deposit"),IF(AND($D181="",$E181&lt;&gt;"Dead Lead"),IF(N($T181)&gt;=3,"READY FOR DEAD LEAD (3 attempts, still no sign-up)","GET ROOBET SIGN-UP - "&amp;IFERROR(VLOOKUP($E181,Lists!$C$2:$E$20,2,FALSE),"")),IFERROR(VLOOKUP($E181,Lists!$C$2:$E$20,2,FALSE),""))))&amp;IF($AC181="Yes",IF(N($X181)&gt;=3," | VIP Team checkpoints complete - no more automatic check-ins"," | Day "&amp;CHOOSE(N($X181)+1,1,7,14)&amp;" VIP Team check-in - confirm active/depositing"),"")</f>
        <v/>
      </c>
      <c r="L181" s="11" t="n"/>
      <c r="M181" s="11" t="n"/>
      <c r="N181" s="15" t="n"/>
      <c r="O181" s="11">
        <f>IF($E181="","",IF(AND($E181="Active",$F181="Green"),"Yes","No"))</f>
        <v/>
      </c>
      <c r="P181" s="11" t="n"/>
      <c r="Q181">
        <f>IF($I181="","",ROUND(TODAY()-$I181,0))</f>
        <v/>
      </c>
      <c r="R181">
        <f>IF($B181="",0,IF(OR(AND(ISNUMBER($J181),$J181&lt;=TODAY(),$E181&lt;&gt;"Dead Lead"),AND($D181="",$E181&lt;&gt;"",$E181&lt;&gt;"Dead Lead",OR($I181="",$I181&lt;TODAY()))),1,0))</f>
        <v/>
      </c>
      <c r="S181">
        <f>IF($R181=1,SUMPRODUCT(($R$4:$R$203=1)*(($Q$4:$Q$203&gt;$Q181)+(($Q$4:$Q$203=$Q181)*(ROW($Q$4:$Q$203)&lt;ROW($Q181)))))+1,"")</f>
        <v/>
      </c>
      <c r="T181" s="11">
        <f>IF($B181="","",0)</f>
        <v/>
      </c>
      <c r="U181">
        <f>IF($B181="",0,IF($E181="Dead Lead",1,0))</f>
        <v/>
      </c>
      <c r="V181">
        <f>IF($U181=1,SUMPRODUCT(($U$4:$U$203=1)*(($J$4:$J$203&lt;$J181)+(($J$4:$J$203=$J181)*(ROW($J$4:$J$203)&lt;ROW($J181)))))+1,"")</f>
        <v/>
      </c>
      <c r="W181" s="12">
        <f>IF($B181="","","")</f>
        <v/>
      </c>
      <c r="X181" s="11">
        <f>IF($B181="","",0)</f>
        <v/>
      </c>
      <c r="Y181">
        <f>IF($B181="",0,IF(AND($R181=0,$E181&lt;&gt;"Dead Lead",ISNUMBER($J181),$J181&lt;=TODAY()+7),1,0))</f>
        <v/>
      </c>
      <c r="Z181">
        <f>IF($Y181=1,SUMPRODUCT(($Y$4:$Y$203=1)*(($J$4:$J$203&lt;$J181)+(($J$4:$J$203=$J181)*(ROW($J$4:$J$203)&lt;ROW($J181)))))+1,"")</f>
        <v/>
      </c>
      <c r="AA181" s="12">
        <f>IF($B181="","","")</f>
        <v/>
      </c>
      <c r="AB181" s="11">
        <f>IF($B181="","",0)</f>
        <v/>
      </c>
      <c r="AC181" s="11" t="n"/>
      <c r="AD181">
        <f>IF($E181="","",IF($E181="VIP Transferred",IF($AA181="","",IF(N($AB181)&gt;=3,"N/A - Closed",$AA181+CHOOSE(N($AB181)+1,1,2,3))),IF($I181="","",IF(VLOOKUP($E181,Lists!$C$2:$E$20,3,FALSE)="CLOSED","N/A - Closed",$I181+VLOOKUP($E181,Lists!$C$2:$E$20,3,FALSE)))))</f>
        <v/>
      </c>
      <c r="AE181">
        <f>IF(AND($AC181="Yes",$W181&lt;&gt;"",N($X181)&lt;3),$W181+CHOOSE(N($X181)+1,1,7,14),"")</f>
        <v/>
      </c>
      <c r="AF181" s="12">
        <f>IF($B181="","","")</f>
        <v/>
      </c>
    </row>
    <row r="182">
      <c r="A182" s="11">
        <f>IF($B182="","","YU-"&amp;TEXT(ROW()-3,"0000"))</f>
        <v/>
      </c>
      <c r="B182" s="11" t="n"/>
      <c r="C182" s="11" t="inlineStr">
        <is>
          <t>Discord</t>
        </is>
      </c>
      <c r="D182" s="11" t="n"/>
      <c r="E182" s="11" t="n"/>
      <c r="F182" s="11">
        <f>IF($E182="","",IF($E182="Dead Lead","Black",IF(IF(ISNUMBER($J182),TODAY()-$J182&gt;3,FALSE),"Red",IF($E182="Reactivation Queue","Red",IF(OR($E182="First Deposit",$E182="Active"),"Green","Yellow")))))</f>
        <v/>
      </c>
      <c r="G182" s="11">
        <f>IF($F182="","",IF($F182="Red",1,IF($F182="Yellow",2,IF($F182="Green",3,4))))</f>
        <v/>
      </c>
      <c r="H182" s="14" t="n"/>
      <c r="I182" s="14" t="n"/>
      <c r="J182" s="12">
        <f>IF($E182="","",IF(AND(ISNUMBER($AD182),ISNUMBER($AE182)),MIN($AD182,$AE182),IF(ISNUMBER($AE182),$AE182,$AD182)))</f>
        <v/>
      </c>
      <c r="K182" s="11">
        <f>IF($E182="","",IF($E182="VIP Transferred",IF(N($AB182)&gt;=3,"Should be Dead Lead (3 attempts, still no deposit) - will auto-update","Day "&amp;CHOOSE(N($AB182)+1,1,2,3)&amp;" URGENT VIP check-in - help them finish KYC and lock in first deposit"),IF(AND($D182="",$E182&lt;&gt;"Dead Lead"),IF(N($T182)&gt;=3,"READY FOR DEAD LEAD (3 attempts, still no sign-up)","GET ROOBET SIGN-UP - "&amp;IFERROR(VLOOKUP($E182,Lists!$C$2:$E$20,2,FALSE),"")),IFERROR(VLOOKUP($E182,Lists!$C$2:$E$20,2,FALSE),""))))&amp;IF($AC182="Yes",IF(N($X182)&gt;=3," | VIP Team checkpoints complete - no more automatic check-ins"," | Day "&amp;CHOOSE(N($X182)+1,1,7,14)&amp;" VIP Team check-in - confirm active/depositing"),"")</f>
        <v/>
      </c>
      <c r="L182" s="11" t="n"/>
      <c r="M182" s="11" t="n"/>
      <c r="N182" s="15" t="n"/>
      <c r="O182" s="11">
        <f>IF($E182="","",IF(AND($E182="Active",$F182="Green"),"Yes","No"))</f>
        <v/>
      </c>
      <c r="P182" s="11" t="n"/>
      <c r="Q182">
        <f>IF($I182="","",ROUND(TODAY()-$I182,0))</f>
        <v/>
      </c>
      <c r="R182">
        <f>IF($B182="",0,IF(OR(AND(ISNUMBER($J182),$J182&lt;=TODAY(),$E182&lt;&gt;"Dead Lead"),AND($D182="",$E182&lt;&gt;"",$E182&lt;&gt;"Dead Lead",OR($I182="",$I182&lt;TODAY()))),1,0))</f>
        <v/>
      </c>
      <c r="S182">
        <f>IF($R182=1,SUMPRODUCT(($R$4:$R$203=1)*(($Q$4:$Q$203&gt;$Q182)+(($Q$4:$Q$203=$Q182)*(ROW($Q$4:$Q$203)&lt;ROW($Q182)))))+1,"")</f>
        <v/>
      </c>
      <c r="T182" s="11">
        <f>IF($B182="","",0)</f>
        <v/>
      </c>
      <c r="U182">
        <f>IF($B182="",0,IF($E182="Dead Lead",1,0))</f>
        <v/>
      </c>
      <c r="V182">
        <f>IF($U182=1,SUMPRODUCT(($U$4:$U$203=1)*(($J$4:$J$203&lt;$J182)+(($J$4:$J$203=$J182)*(ROW($J$4:$J$203)&lt;ROW($J182)))))+1,"")</f>
        <v/>
      </c>
      <c r="W182" s="12">
        <f>IF($B182="","","")</f>
        <v/>
      </c>
      <c r="X182" s="11">
        <f>IF($B182="","",0)</f>
        <v/>
      </c>
      <c r="Y182">
        <f>IF($B182="",0,IF(AND($R182=0,$E182&lt;&gt;"Dead Lead",ISNUMBER($J182),$J182&lt;=TODAY()+7),1,0))</f>
        <v/>
      </c>
      <c r="Z182">
        <f>IF($Y182=1,SUMPRODUCT(($Y$4:$Y$203=1)*(($J$4:$J$203&lt;$J182)+(($J$4:$J$203=$J182)*(ROW($J$4:$J$203)&lt;ROW($J182)))))+1,"")</f>
        <v/>
      </c>
      <c r="AA182" s="12">
        <f>IF($B182="","","")</f>
        <v/>
      </c>
      <c r="AB182" s="11">
        <f>IF($B182="","",0)</f>
        <v/>
      </c>
      <c r="AC182" s="11" t="n"/>
      <c r="AD182">
        <f>IF($E182="","",IF($E182="VIP Transferred",IF($AA182="","",IF(N($AB182)&gt;=3,"N/A - Closed",$AA182+CHOOSE(N($AB182)+1,1,2,3))),IF($I182="","",IF(VLOOKUP($E182,Lists!$C$2:$E$20,3,FALSE)="CLOSED","N/A - Closed",$I182+VLOOKUP($E182,Lists!$C$2:$E$20,3,FALSE)))))</f>
        <v/>
      </c>
      <c r="AE182">
        <f>IF(AND($AC182="Yes",$W182&lt;&gt;"",N($X182)&lt;3),$W182+CHOOSE(N($X182)+1,1,7,14),"")</f>
        <v/>
      </c>
      <c r="AF182" s="12">
        <f>IF($B182="","","")</f>
        <v/>
      </c>
    </row>
    <row r="183">
      <c r="A183" s="11">
        <f>IF($B183="","","YU-"&amp;TEXT(ROW()-3,"0000"))</f>
        <v/>
      </c>
      <c r="B183" s="11" t="n"/>
      <c r="C183" s="11" t="inlineStr">
        <is>
          <t>Discord</t>
        </is>
      </c>
      <c r="D183" s="11" t="n"/>
      <c r="E183" s="11" t="n"/>
      <c r="F183" s="11">
        <f>IF($E183="","",IF($E183="Dead Lead","Black",IF(IF(ISNUMBER($J183),TODAY()-$J183&gt;3,FALSE),"Red",IF($E183="Reactivation Queue","Red",IF(OR($E183="First Deposit",$E183="Active"),"Green","Yellow")))))</f>
        <v/>
      </c>
      <c r="G183" s="11">
        <f>IF($F183="","",IF($F183="Red",1,IF($F183="Yellow",2,IF($F183="Green",3,4))))</f>
        <v/>
      </c>
      <c r="H183" s="14" t="n"/>
      <c r="I183" s="14" t="n"/>
      <c r="J183" s="12">
        <f>IF($E183="","",IF(AND(ISNUMBER($AD183),ISNUMBER($AE183)),MIN($AD183,$AE183),IF(ISNUMBER($AE183),$AE183,$AD183)))</f>
        <v/>
      </c>
      <c r="K183" s="11">
        <f>IF($E183="","",IF($E183="VIP Transferred",IF(N($AB183)&gt;=3,"Should be Dead Lead (3 attempts, still no deposit) - will auto-update","Day "&amp;CHOOSE(N($AB183)+1,1,2,3)&amp;" URGENT VIP check-in - help them finish KYC and lock in first deposit"),IF(AND($D183="",$E183&lt;&gt;"Dead Lead"),IF(N($T183)&gt;=3,"READY FOR DEAD LEAD (3 attempts, still no sign-up)","GET ROOBET SIGN-UP - "&amp;IFERROR(VLOOKUP($E183,Lists!$C$2:$E$20,2,FALSE),"")),IFERROR(VLOOKUP($E183,Lists!$C$2:$E$20,2,FALSE),""))))&amp;IF($AC183="Yes",IF(N($X183)&gt;=3," | VIP Team checkpoints complete - no more automatic check-ins"," | Day "&amp;CHOOSE(N($X183)+1,1,7,14)&amp;" VIP Team check-in - confirm active/depositing"),"")</f>
        <v/>
      </c>
      <c r="L183" s="11" t="n"/>
      <c r="M183" s="11" t="n"/>
      <c r="N183" s="15" t="n"/>
      <c r="O183" s="11">
        <f>IF($E183="","",IF(AND($E183="Active",$F183="Green"),"Yes","No"))</f>
        <v/>
      </c>
      <c r="P183" s="11" t="n"/>
      <c r="Q183">
        <f>IF($I183="","",ROUND(TODAY()-$I183,0))</f>
        <v/>
      </c>
      <c r="R183">
        <f>IF($B183="",0,IF(OR(AND(ISNUMBER($J183),$J183&lt;=TODAY(),$E183&lt;&gt;"Dead Lead"),AND($D183="",$E183&lt;&gt;"",$E183&lt;&gt;"Dead Lead",OR($I183="",$I183&lt;TODAY()))),1,0))</f>
        <v/>
      </c>
      <c r="S183">
        <f>IF($R183=1,SUMPRODUCT(($R$4:$R$203=1)*(($Q$4:$Q$203&gt;$Q183)+(($Q$4:$Q$203=$Q183)*(ROW($Q$4:$Q$203)&lt;ROW($Q183)))))+1,"")</f>
        <v/>
      </c>
      <c r="T183" s="11">
        <f>IF($B183="","",0)</f>
        <v/>
      </c>
      <c r="U183">
        <f>IF($B183="",0,IF($E183="Dead Lead",1,0))</f>
        <v/>
      </c>
      <c r="V183">
        <f>IF($U183=1,SUMPRODUCT(($U$4:$U$203=1)*(($J$4:$J$203&lt;$J183)+(($J$4:$J$203=$J183)*(ROW($J$4:$J$203)&lt;ROW($J183)))))+1,"")</f>
        <v/>
      </c>
      <c r="W183" s="12">
        <f>IF($B183="","","")</f>
        <v/>
      </c>
      <c r="X183" s="11">
        <f>IF($B183="","",0)</f>
        <v/>
      </c>
      <c r="Y183">
        <f>IF($B183="",0,IF(AND($R183=0,$E183&lt;&gt;"Dead Lead",ISNUMBER($J183),$J183&lt;=TODAY()+7),1,0))</f>
        <v/>
      </c>
      <c r="Z183">
        <f>IF($Y183=1,SUMPRODUCT(($Y$4:$Y$203=1)*(($J$4:$J$203&lt;$J183)+(($J$4:$J$203=$J183)*(ROW($J$4:$J$203)&lt;ROW($J183)))))+1,"")</f>
        <v/>
      </c>
      <c r="AA183" s="12">
        <f>IF($B183="","","")</f>
        <v/>
      </c>
      <c r="AB183" s="11">
        <f>IF($B183="","",0)</f>
        <v/>
      </c>
      <c r="AC183" s="11" t="n"/>
      <c r="AD183">
        <f>IF($E183="","",IF($E183="VIP Transferred",IF($AA183="","",IF(N($AB183)&gt;=3,"N/A - Closed",$AA183+CHOOSE(N($AB183)+1,1,2,3))),IF($I183="","",IF(VLOOKUP($E183,Lists!$C$2:$E$20,3,FALSE)="CLOSED","N/A - Closed",$I183+VLOOKUP($E183,Lists!$C$2:$E$20,3,FALSE)))))</f>
        <v/>
      </c>
      <c r="AE183">
        <f>IF(AND($AC183="Yes",$W183&lt;&gt;"",N($X183)&lt;3),$W183+CHOOSE(N($X183)+1,1,7,14),"")</f>
        <v/>
      </c>
      <c r="AF183" s="12">
        <f>IF($B183="","","")</f>
        <v/>
      </c>
    </row>
    <row r="184">
      <c r="A184" s="11">
        <f>IF($B184="","","YU-"&amp;TEXT(ROW()-3,"0000"))</f>
        <v/>
      </c>
      <c r="B184" s="11" t="n"/>
      <c r="C184" s="11" t="inlineStr">
        <is>
          <t>Discord</t>
        </is>
      </c>
      <c r="D184" s="11" t="n"/>
      <c r="E184" s="11" t="n"/>
      <c r="F184" s="11">
        <f>IF($E184="","",IF($E184="Dead Lead","Black",IF(IF(ISNUMBER($J184),TODAY()-$J184&gt;3,FALSE),"Red",IF($E184="Reactivation Queue","Red",IF(OR($E184="First Deposit",$E184="Active"),"Green","Yellow")))))</f>
        <v/>
      </c>
      <c r="G184" s="11">
        <f>IF($F184="","",IF($F184="Red",1,IF($F184="Yellow",2,IF($F184="Green",3,4))))</f>
        <v/>
      </c>
      <c r="H184" s="14" t="n"/>
      <c r="I184" s="14" t="n"/>
      <c r="J184" s="12">
        <f>IF($E184="","",IF(AND(ISNUMBER($AD184),ISNUMBER($AE184)),MIN($AD184,$AE184),IF(ISNUMBER($AE184),$AE184,$AD184)))</f>
        <v/>
      </c>
      <c r="K184" s="11">
        <f>IF($E184="","",IF($E184="VIP Transferred",IF(N($AB184)&gt;=3,"Should be Dead Lead (3 attempts, still no deposit) - will auto-update","Day "&amp;CHOOSE(N($AB184)+1,1,2,3)&amp;" URGENT VIP check-in - help them finish KYC and lock in first deposit"),IF(AND($D184="",$E184&lt;&gt;"Dead Lead"),IF(N($T184)&gt;=3,"READY FOR DEAD LEAD (3 attempts, still no sign-up)","GET ROOBET SIGN-UP - "&amp;IFERROR(VLOOKUP($E184,Lists!$C$2:$E$20,2,FALSE),"")),IFERROR(VLOOKUP($E184,Lists!$C$2:$E$20,2,FALSE),""))))&amp;IF($AC184="Yes",IF(N($X184)&gt;=3," | VIP Team checkpoints complete - no more automatic check-ins"," | Day "&amp;CHOOSE(N($X184)+1,1,7,14)&amp;" VIP Team check-in - confirm active/depositing"),"")</f>
        <v/>
      </c>
      <c r="L184" s="11" t="n"/>
      <c r="M184" s="11" t="n"/>
      <c r="N184" s="15" t="n"/>
      <c r="O184" s="11">
        <f>IF($E184="","",IF(AND($E184="Active",$F184="Green"),"Yes","No"))</f>
        <v/>
      </c>
      <c r="P184" s="11" t="n"/>
      <c r="Q184">
        <f>IF($I184="","",ROUND(TODAY()-$I184,0))</f>
        <v/>
      </c>
      <c r="R184">
        <f>IF($B184="",0,IF(OR(AND(ISNUMBER($J184),$J184&lt;=TODAY(),$E184&lt;&gt;"Dead Lead"),AND($D184="",$E184&lt;&gt;"",$E184&lt;&gt;"Dead Lead",OR($I184="",$I184&lt;TODAY()))),1,0))</f>
        <v/>
      </c>
      <c r="S184">
        <f>IF($R184=1,SUMPRODUCT(($R$4:$R$203=1)*(($Q$4:$Q$203&gt;$Q184)+(($Q$4:$Q$203=$Q184)*(ROW($Q$4:$Q$203)&lt;ROW($Q184)))))+1,"")</f>
        <v/>
      </c>
      <c r="T184" s="11">
        <f>IF($B184="","",0)</f>
        <v/>
      </c>
      <c r="U184">
        <f>IF($B184="",0,IF($E184="Dead Lead",1,0))</f>
        <v/>
      </c>
      <c r="V184">
        <f>IF($U184=1,SUMPRODUCT(($U$4:$U$203=1)*(($J$4:$J$203&lt;$J184)+(($J$4:$J$203=$J184)*(ROW($J$4:$J$203)&lt;ROW($J184)))))+1,"")</f>
        <v/>
      </c>
      <c r="W184" s="12">
        <f>IF($B184="","","")</f>
        <v/>
      </c>
      <c r="X184" s="11">
        <f>IF($B184="","",0)</f>
        <v/>
      </c>
      <c r="Y184">
        <f>IF($B184="",0,IF(AND($R184=0,$E184&lt;&gt;"Dead Lead",ISNUMBER($J184),$J184&lt;=TODAY()+7),1,0))</f>
        <v/>
      </c>
      <c r="Z184">
        <f>IF($Y184=1,SUMPRODUCT(($Y$4:$Y$203=1)*(($J$4:$J$203&lt;$J184)+(($J$4:$J$203=$J184)*(ROW($J$4:$J$203)&lt;ROW($J184)))))+1,"")</f>
        <v/>
      </c>
      <c r="AA184" s="12">
        <f>IF($B184="","","")</f>
        <v/>
      </c>
      <c r="AB184" s="11">
        <f>IF($B184="","",0)</f>
        <v/>
      </c>
      <c r="AC184" s="11" t="n"/>
      <c r="AD184">
        <f>IF($E184="","",IF($E184="VIP Transferred",IF($AA184="","",IF(N($AB184)&gt;=3,"N/A - Closed",$AA184+CHOOSE(N($AB184)+1,1,2,3))),IF($I184="","",IF(VLOOKUP($E184,Lists!$C$2:$E$20,3,FALSE)="CLOSED","N/A - Closed",$I184+VLOOKUP($E184,Lists!$C$2:$E$20,3,FALSE)))))</f>
        <v/>
      </c>
      <c r="AE184">
        <f>IF(AND($AC184="Yes",$W184&lt;&gt;"",N($X184)&lt;3),$W184+CHOOSE(N($X184)+1,1,7,14),"")</f>
        <v/>
      </c>
      <c r="AF184" s="12">
        <f>IF($B184="","","")</f>
        <v/>
      </c>
    </row>
    <row r="185">
      <c r="A185" s="11">
        <f>IF($B185="","","YU-"&amp;TEXT(ROW()-3,"0000"))</f>
        <v/>
      </c>
      <c r="B185" s="11" t="n"/>
      <c r="C185" s="11" t="inlineStr">
        <is>
          <t>Discord</t>
        </is>
      </c>
      <c r="D185" s="11" t="n"/>
      <c r="E185" s="11" t="n"/>
      <c r="F185" s="11">
        <f>IF($E185="","",IF($E185="Dead Lead","Black",IF(IF(ISNUMBER($J185),TODAY()-$J185&gt;3,FALSE),"Red",IF($E185="Reactivation Queue","Red",IF(OR($E185="First Deposit",$E185="Active"),"Green","Yellow")))))</f>
        <v/>
      </c>
      <c r="G185" s="11">
        <f>IF($F185="","",IF($F185="Red",1,IF($F185="Yellow",2,IF($F185="Green",3,4))))</f>
        <v/>
      </c>
      <c r="H185" s="14" t="n"/>
      <c r="I185" s="14" t="n"/>
      <c r="J185" s="12">
        <f>IF($E185="","",IF(AND(ISNUMBER($AD185),ISNUMBER($AE185)),MIN($AD185,$AE185),IF(ISNUMBER($AE185),$AE185,$AD185)))</f>
        <v/>
      </c>
      <c r="K185" s="11">
        <f>IF($E185="","",IF($E185="VIP Transferred",IF(N($AB185)&gt;=3,"Should be Dead Lead (3 attempts, still no deposit) - will auto-update","Day "&amp;CHOOSE(N($AB185)+1,1,2,3)&amp;" URGENT VIP check-in - help them finish KYC and lock in first deposit"),IF(AND($D185="",$E185&lt;&gt;"Dead Lead"),IF(N($T185)&gt;=3,"READY FOR DEAD LEAD (3 attempts, still no sign-up)","GET ROOBET SIGN-UP - "&amp;IFERROR(VLOOKUP($E185,Lists!$C$2:$E$20,2,FALSE),"")),IFERROR(VLOOKUP($E185,Lists!$C$2:$E$20,2,FALSE),""))))&amp;IF($AC185="Yes",IF(N($X185)&gt;=3," | VIP Team checkpoints complete - no more automatic check-ins"," | Day "&amp;CHOOSE(N($X185)+1,1,7,14)&amp;" VIP Team check-in - confirm active/depositing"),"")</f>
        <v/>
      </c>
      <c r="L185" s="11" t="n"/>
      <c r="M185" s="11" t="n"/>
      <c r="N185" s="15" t="n"/>
      <c r="O185" s="11">
        <f>IF($E185="","",IF(AND($E185="Active",$F185="Green"),"Yes","No"))</f>
        <v/>
      </c>
      <c r="P185" s="11" t="n"/>
      <c r="Q185">
        <f>IF($I185="","",ROUND(TODAY()-$I185,0))</f>
        <v/>
      </c>
      <c r="R185">
        <f>IF($B185="",0,IF(OR(AND(ISNUMBER($J185),$J185&lt;=TODAY(),$E185&lt;&gt;"Dead Lead"),AND($D185="",$E185&lt;&gt;"",$E185&lt;&gt;"Dead Lead",OR($I185="",$I185&lt;TODAY()))),1,0))</f>
        <v/>
      </c>
      <c r="S185">
        <f>IF($R185=1,SUMPRODUCT(($R$4:$R$203=1)*(($Q$4:$Q$203&gt;$Q185)+(($Q$4:$Q$203=$Q185)*(ROW($Q$4:$Q$203)&lt;ROW($Q185)))))+1,"")</f>
        <v/>
      </c>
      <c r="T185" s="11">
        <f>IF($B185="","",0)</f>
        <v/>
      </c>
      <c r="U185">
        <f>IF($B185="",0,IF($E185="Dead Lead",1,0))</f>
        <v/>
      </c>
      <c r="V185">
        <f>IF($U185=1,SUMPRODUCT(($U$4:$U$203=1)*(($J$4:$J$203&lt;$J185)+(($J$4:$J$203=$J185)*(ROW($J$4:$J$203)&lt;ROW($J185)))))+1,"")</f>
        <v/>
      </c>
      <c r="W185" s="12">
        <f>IF($B185="","","")</f>
        <v/>
      </c>
      <c r="X185" s="11">
        <f>IF($B185="","",0)</f>
        <v/>
      </c>
      <c r="Y185">
        <f>IF($B185="",0,IF(AND($R185=0,$E185&lt;&gt;"Dead Lead",ISNUMBER($J185),$J185&lt;=TODAY()+7),1,0))</f>
        <v/>
      </c>
      <c r="Z185">
        <f>IF($Y185=1,SUMPRODUCT(($Y$4:$Y$203=1)*(($J$4:$J$203&lt;$J185)+(($J$4:$J$203=$J185)*(ROW($J$4:$J$203)&lt;ROW($J185)))))+1,"")</f>
        <v/>
      </c>
      <c r="AA185" s="12">
        <f>IF($B185="","","")</f>
        <v/>
      </c>
      <c r="AB185" s="11">
        <f>IF($B185="","",0)</f>
        <v/>
      </c>
      <c r="AC185" s="11" t="n"/>
      <c r="AD185">
        <f>IF($E185="","",IF($E185="VIP Transferred",IF($AA185="","",IF(N($AB185)&gt;=3,"N/A - Closed",$AA185+CHOOSE(N($AB185)+1,1,2,3))),IF($I185="","",IF(VLOOKUP($E185,Lists!$C$2:$E$20,3,FALSE)="CLOSED","N/A - Closed",$I185+VLOOKUP($E185,Lists!$C$2:$E$20,3,FALSE)))))</f>
        <v/>
      </c>
      <c r="AE185">
        <f>IF(AND($AC185="Yes",$W185&lt;&gt;"",N($X185)&lt;3),$W185+CHOOSE(N($X185)+1,1,7,14),"")</f>
        <v/>
      </c>
      <c r="AF185" s="12">
        <f>IF($B185="","","")</f>
        <v/>
      </c>
    </row>
    <row r="186">
      <c r="A186" s="11">
        <f>IF($B186="","","YU-"&amp;TEXT(ROW()-3,"0000"))</f>
        <v/>
      </c>
      <c r="B186" s="11" t="n"/>
      <c r="C186" s="11" t="inlineStr">
        <is>
          <t>Discord</t>
        </is>
      </c>
      <c r="D186" s="11" t="n"/>
      <c r="E186" s="11" t="n"/>
      <c r="F186" s="11">
        <f>IF($E186="","",IF($E186="Dead Lead","Black",IF(IF(ISNUMBER($J186),TODAY()-$J186&gt;3,FALSE),"Red",IF($E186="Reactivation Queue","Red",IF(OR($E186="First Deposit",$E186="Active"),"Green","Yellow")))))</f>
        <v/>
      </c>
      <c r="G186" s="11">
        <f>IF($F186="","",IF($F186="Red",1,IF($F186="Yellow",2,IF($F186="Green",3,4))))</f>
        <v/>
      </c>
      <c r="H186" s="14" t="n"/>
      <c r="I186" s="14" t="n"/>
      <c r="J186" s="12">
        <f>IF($E186="","",IF(AND(ISNUMBER($AD186),ISNUMBER($AE186)),MIN($AD186,$AE186),IF(ISNUMBER($AE186),$AE186,$AD186)))</f>
        <v/>
      </c>
      <c r="K186" s="11">
        <f>IF($E186="","",IF($E186="VIP Transferred",IF(N($AB186)&gt;=3,"Should be Dead Lead (3 attempts, still no deposit) - will auto-update","Day "&amp;CHOOSE(N($AB186)+1,1,2,3)&amp;" URGENT VIP check-in - help them finish KYC and lock in first deposit"),IF(AND($D186="",$E186&lt;&gt;"Dead Lead"),IF(N($T186)&gt;=3,"READY FOR DEAD LEAD (3 attempts, still no sign-up)","GET ROOBET SIGN-UP - "&amp;IFERROR(VLOOKUP($E186,Lists!$C$2:$E$20,2,FALSE),"")),IFERROR(VLOOKUP($E186,Lists!$C$2:$E$20,2,FALSE),""))))&amp;IF($AC186="Yes",IF(N($X186)&gt;=3," | VIP Team checkpoints complete - no more automatic check-ins"," | Day "&amp;CHOOSE(N($X186)+1,1,7,14)&amp;" VIP Team check-in - confirm active/depositing"),"")</f>
        <v/>
      </c>
      <c r="L186" s="11" t="n"/>
      <c r="M186" s="11" t="n"/>
      <c r="N186" s="15" t="n"/>
      <c r="O186" s="11">
        <f>IF($E186="","",IF(AND($E186="Active",$F186="Green"),"Yes","No"))</f>
        <v/>
      </c>
      <c r="P186" s="11" t="n"/>
      <c r="Q186">
        <f>IF($I186="","",ROUND(TODAY()-$I186,0))</f>
        <v/>
      </c>
      <c r="R186">
        <f>IF($B186="",0,IF(OR(AND(ISNUMBER($J186),$J186&lt;=TODAY(),$E186&lt;&gt;"Dead Lead"),AND($D186="",$E186&lt;&gt;"",$E186&lt;&gt;"Dead Lead",OR($I186="",$I186&lt;TODAY()))),1,0))</f>
        <v/>
      </c>
      <c r="S186">
        <f>IF($R186=1,SUMPRODUCT(($R$4:$R$203=1)*(($Q$4:$Q$203&gt;$Q186)+(($Q$4:$Q$203=$Q186)*(ROW($Q$4:$Q$203)&lt;ROW($Q186)))))+1,"")</f>
        <v/>
      </c>
      <c r="T186" s="11">
        <f>IF($B186="","",0)</f>
        <v/>
      </c>
      <c r="U186">
        <f>IF($B186="",0,IF($E186="Dead Lead",1,0))</f>
        <v/>
      </c>
      <c r="V186">
        <f>IF($U186=1,SUMPRODUCT(($U$4:$U$203=1)*(($J$4:$J$203&lt;$J186)+(($J$4:$J$203=$J186)*(ROW($J$4:$J$203)&lt;ROW($J186)))))+1,"")</f>
        <v/>
      </c>
      <c r="W186" s="12">
        <f>IF($B186="","","")</f>
        <v/>
      </c>
      <c r="X186" s="11">
        <f>IF($B186="","",0)</f>
        <v/>
      </c>
      <c r="Y186">
        <f>IF($B186="",0,IF(AND($R186=0,$E186&lt;&gt;"Dead Lead",ISNUMBER($J186),$J186&lt;=TODAY()+7),1,0))</f>
        <v/>
      </c>
      <c r="Z186">
        <f>IF($Y186=1,SUMPRODUCT(($Y$4:$Y$203=1)*(($J$4:$J$203&lt;$J186)+(($J$4:$J$203=$J186)*(ROW($J$4:$J$203)&lt;ROW($J186)))))+1,"")</f>
        <v/>
      </c>
      <c r="AA186" s="12">
        <f>IF($B186="","","")</f>
        <v/>
      </c>
      <c r="AB186" s="11">
        <f>IF($B186="","",0)</f>
        <v/>
      </c>
      <c r="AC186" s="11" t="n"/>
      <c r="AD186">
        <f>IF($E186="","",IF($E186="VIP Transferred",IF($AA186="","",IF(N($AB186)&gt;=3,"N/A - Closed",$AA186+CHOOSE(N($AB186)+1,1,2,3))),IF($I186="","",IF(VLOOKUP($E186,Lists!$C$2:$E$20,3,FALSE)="CLOSED","N/A - Closed",$I186+VLOOKUP($E186,Lists!$C$2:$E$20,3,FALSE)))))</f>
        <v/>
      </c>
      <c r="AE186">
        <f>IF(AND($AC186="Yes",$W186&lt;&gt;"",N($X186)&lt;3),$W186+CHOOSE(N($X186)+1,1,7,14),"")</f>
        <v/>
      </c>
      <c r="AF186" s="12">
        <f>IF($B186="","","")</f>
        <v/>
      </c>
    </row>
    <row r="187">
      <c r="A187" s="11">
        <f>IF($B187="","","YU-"&amp;TEXT(ROW()-3,"0000"))</f>
        <v/>
      </c>
      <c r="B187" s="11" t="n"/>
      <c r="C187" s="11" t="inlineStr">
        <is>
          <t>Discord</t>
        </is>
      </c>
      <c r="D187" s="11" t="n"/>
      <c r="E187" s="11" t="n"/>
      <c r="F187" s="11">
        <f>IF($E187="","",IF($E187="Dead Lead","Black",IF(IF(ISNUMBER($J187),TODAY()-$J187&gt;3,FALSE),"Red",IF($E187="Reactivation Queue","Red",IF(OR($E187="First Deposit",$E187="Active"),"Green","Yellow")))))</f>
        <v/>
      </c>
      <c r="G187" s="11">
        <f>IF($F187="","",IF($F187="Red",1,IF($F187="Yellow",2,IF($F187="Green",3,4))))</f>
        <v/>
      </c>
      <c r="H187" s="14" t="n"/>
      <c r="I187" s="14" t="n"/>
      <c r="J187" s="12">
        <f>IF($E187="","",IF(AND(ISNUMBER($AD187),ISNUMBER($AE187)),MIN($AD187,$AE187),IF(ISNUMBER($AE187),$AE187,$AD187)))</f>
        <v/>
      </c>
      <c r="K187" s="11">
        <f>IF($E187="","",IF($E187="VIP Transferred",IF(N($AB187)&gt;=3,"Should be Dead Lead (3 attempts, still no deposit) - will auto-update","Day "&amp;CHOOSE(N($AB187)+1,1,2,3)&amp;" URGENT VIP check-in - help them finish KYC and lock in first deposit"),IF(AND($D187="",$E187&lt;&gt;"Dead Lead"),IF(N($T187)&gt;=3,"READY FOR DEAD LEAD (3 attempts, still no sign-up)","GET ROOBET SIGN-UP - "&amp;IFERROR(VLOOKUP($E187,Lists!$C$2:$E$20,2,FALSE),"")),IFERROR(VLOOKUP($E187,Lists!$C$2:$E$20,2,FALSE),""))))&amp;IF($AC187="Yes",IF(N($X187)&gt;=3," | VIP Team checkpoints complete - no more automatic check-ins"," | Day "&amp;CHOOSE(N($X187)+1,1,7,14)&amp;" VIP Team check-in - confirm active/depositing"),"")</f>
        <v/>
      </c>
      <c r="L187" s="11" t="n"/>
      <c r="M187" s="11" t="n"/>
      <c r="N187" s="15" t="n"/>
      <c r="O187" s="11">
        <f>IF($E187="","",IF(AND($E187="Active",$F187="Green"),"Yes","No"))</f>
        <v/>
      </c>
      <c r="P187" s="11" t="n"/>
      <c r="Q187">
        <f>IF($I187="","",ROUND(TODAY()-$I187,0))</f>
        <v/>
      </c>
      <c r="R187">
        <f>IF($B187="",0,IF(OR(AND(ISNUMBER($J187),$J187&lt;=TODAY(),$E187&lt;&gt;"Dead Lead"),AND($D187="",$E187&lt;&gt;"",$E187&lt;&gt;"Dead Lead",OR($I187="",$I187&lt;TODAY()))),1,0))</f>
        <v/>
      </c>
      <c r="S187">
        <f>IF($R187=1,SUMPRODUCT(($R$4:$R$203=1)*(($Q$4:$Q$203&gt;$Q187)+(($Q$4:$Q$203=$Q187)*(ROW($Q$4:$Q$203)&lt;ROW($Q187)))))+1,"")</f>
        <v/>
      </c>
      <c r="T187" s="11">
        <f>IF($B187="","",0)</f>
        <v/>
      </c>
      <c r="U187">
        <f>IF($B187="",0,IF($E187="Dead Lead",1,0))</f>
        <v/>
      </c>
      <c r="V187">
        <f>IF($U187=1,SUMPRODUCT(($U$4:$U$203=1)*(($J$4:$J$203&lt;$J187)+(($J$4:$J$203=$J187)*(ROW($J$4:$J$203)&lt;ROW($J187)))))+1,"")</f>
        <v/>
      </c>
      <c r="W187" s="12">
        <f>IF($B187="","","")</f>
        <v/>
      </c>
      <c r="X187" s="11">
        <f>IF($B187="","",0)</f>
        <v/>
      </c>
      <c r="Y187">
        <f>IF($B187="",0,IF(AND($R187=0,$E187&lt;&gt;"Dead Lead",ISNUMBER($J187),$J187&lt;=TODAY()+7),1,0))</f>
        <v/>
      </c>
      <c r="Z187">
        <f>IF($Y187=1,SUMPRODUCT(($Y$4:$Y$203=1)*(($J$4:$J$203&lt;$J187)+(($J$4:$J$203=$J187)*(ROW($J$4:$J$203)&lt;ROW($J187)))))+1,"")</f>
        <v/>
      </c>
      <c r="AA187" s="12">
        <f>IF($B187="","","")</f>
        <v/>
      </c>
      <c r="AB187" s="11">
        <f>IF($B187="","",0)</f>
        <v/>
      </c>
      <c r="AC187" s="11" t="n"/>
      <c r="AD187">
        <f>IF($E187="","",IF($E187="VIP Transferred",IF($AA187="","",IF(N($AB187)&gt;=3,"N/A - Closed",$AA187+CHOOSE(N($AB187)+1,1,2,3))),IF($I187="","",IF(VLOOKUP($E187,Lists!$C$2:$E$20,3,FALSE)="CLOSED","N/A - Closed",$I187+VLOOKUP($E187,Lists!$C$2:$E$20,3,FALSE)))))</f>
        <v/>
      </c>
      <c r="AE187">
        <f>IF(AND($AC187="Yes",$W187&lt;&gt;"",N($X187)&lt;3),$W187+CHOOSE(N($X187)+1,1,7,14),"")</f>
        <v/>
      </c>
      <c r="AF187" s="12">
        <f>IF($B187="","","")</f>
        <v/>
      </c>
    </row>
    <row r="188">
      <c r="A188" s="11">
        <f>IF($B188="","","YU-"&amp;TEXT(ROW()-3,"0000"))</f>
        <v/>
      </c>
      <c r="B188" s="11" t="n"/>
      <c r="C188" s="11" t="inlineStr">
        <is>
          <t>Discord</t>
        </is>
      </c>
      <c r="D188" s="11" t="n"/>
      <c r="E188" s="11" t="n"/>
      <c r="F188" s="11">
        <f>IF($E188="","",IF($E188="Dead Lead","Black",IF(IF(ISNUMBER($J188),TODAY()-$J188&gt;3,FALSE),"Red",IF($E188="Reactivation Queue","Red",IF(OR($E188="First Deposit",$E188="Active"),"Green","Yellow")))))</f>
        <v/>
      </c>
      <c r="G188" s="11">
        <f>IF($F188="","",IF($F188="Red",1,IF($F188="Yellow",2,IF($F188="Green",3,4))))</f>
        <v/>
      </c>
      <c r="H188" s="14" t="n"/>
      <c r="I188" s="14" t="n"/>
      <c r="J188" s="12">
        <f>IF($E188="","",IF(AND(ISNUMBER($AD188),ISNUMBER($AE188)),MIN($AD188,$AE188),IF(ISNUMBER($AE188),$AE188,$AD188)))</f>
        <v/>
      </c>
      <c r="K188" s="11">
        <f>IF($E188="","",IF($E188="VIP Transferred",IF(N($AB188)&gt;=3,"Should be Dead Lead (3 attempts, still no deposit) - will auto-update","Day "&amp;CHOOSE(N($AB188)+1,1,2,3)&amp;" URGENT VIP check-in - help them finish KYC and lock in first deposit"),IF(AND($D188="",$E188&lt;&gt;"Dead Lead"),IF(N($T188)&gt;=3,"READY FOR DEAD LEAD (3 attempts, still no sign-up)","GET ROOBET SIGN-UP - "&amp;IFERROR(VLOOKUP($E188,Lists!$C$2:$E$20,2,FALSE),"")),IFERROR(VLOOKUP($E188,Lists!$C$2:$E$20,2,FALSE),""))))&amp;IF($AC188="Yes",IF(N($X188)&gt;=3," | VIP Team checkpoints complete - no more automatic check-ins"," | Day "&amp;CHOOSE(N($X188)+1,1,7,14)&amp;" VIP Team check-in - confirm active/depositing"),"")</f>
        <v/>
      </c>
      <c r="L188" s="11" t="n"/>
      <c r="M188" s="11" t="n"/>
      <c r="N188" s="15" t="n"/>
      <c r="O188" s="11">
        <f>IF($E188="","",IF(AND($E188="Active",$F188="Green"),"Yes","No"))</f>
        <v/>
      </c>
      <c r="P188" s="11" t="n"/>
      <c r="Q188">
        <f>IF($I188="","",ROUND(TODAY()-$I188,0))</f>
        <v/>
      </c>
      <c r="R188">
        <f>IF($B188="",0,IF(OR(AND(ISNUMBER($J188),$J188&lt;=TODAY(),$E188&lt;&gt;"Dead Lead"),AND($D188="",$E188&lt;&gt;"",$E188&lt;&gt;"Dead Lead",OR($I188="",$I188&lt;TODAY()))),1,0))</f>
        <v/>
      </c>
      <c r="S188">
        <f>IF($R188=1,SUMPRODUCT(($R$4:$R$203=1)*(($Q$4:$Q$203&gt;$Q188)+(($Q$4:$Q$203=$Q188)*(ROW($Q$4:$Q$203)&lt;ROW($Q188)))))+1,"")</f>
        <v/>
      </c>
      <c r="T188" s="11">
        <f>IF($B188="","",0)</f>
        <v/>
      </c>
      <c r="U188">
        <f>IF($B188="",0,IF($E188="Dead Lead",1,0))</f>
        <v/>
      </c>
      <c r="V188">
        <f>IF($U188=1,SUMPRODUCT(($U$4:$U$203=1)*(($J$4:$J$203&lt;$J188)+(($J$4:$J$203=$J188)*(ROW($J$4:$J$203)&lt;ROW($J188)))))+1,"")</f>
        <v/>
      </c>
      <c r="W188" s="12">
        <f>IF($B188="","","")</f>
        <v/>
      </c>
      <c r="X188" s="11">
        <f>IF($B188="","",0)</f>
        <v/>
      </c>
      <c r="Y188">
        <f>IF($B188="",0,IF(AND($R188=0,$E188&lt;&gt;"Dead Lead",ISNUMBER($J188),$J188&lt;=TODAY()+7),1,0))</f>
        <v/>
      </c>
      <c r="Z188">
        <f>IF($Y188=1,SUMPRODUCT(($Y$4:$Y$203=1)*(($J$4:$J$203&lt;$J188)+(($J$4:$J$203=$J188)*(ROW($J$4:$J$203)&lt;ROW($J188)))))+1,"")</f>
        <v/>
      </c>
      <c r="AA188" s="12">
        <f>IF($B188="","","")</f>
        <v/>
      </c>
      <c r="AB188" s="11">
        <f>IF($B188="","",0)</f>
        <v/>
      </c>
      <c r="AC188" s="11" t="n"/>
      <c r="AD188">
        <f>IF($E188="","",IF($E188="VIP Transferred",IF($AA188="","",IF(N($AB188)&gt;=3,"N/A - Closed",$AA188+CHOOSE(N($AB188)+1,1,2,3))),IF($I188="","",IF(VLOOKUP($E188,Lists!$C$2:$E$20,3,FALSE)="CLOSED","N/A - Closed",$I188+VLOOKUP($E188,Lists!$C$2:$E$20,3,FALSE)))))</f>
        <v/>
      </c>
      <c r="AE188">
        <f>IF(AND($AC188="Yes",$W188&lt;&gt;"",N($X188)&lt;3),$W188+CHOOSE(N($X188)+1,1,7,14),"")</f>
        <v/>
      </c>
      <c r="AF188" s="12">
        <f>IF($B188="","","")</f>
        <v/>
      </c>
    </row>
    <row r="189">
      <c r="A189" s="11">
        <f>IF($B189="","","YU-"&amp;TEXT(ROW()-3,"0000"))</f>
        <v/>
      </c>
      <c r="B189" s="11" t="n"/>
      <c r="C189" s="11" t="inlineStr">
        <is>
          <t>Discord</t>
        </is>
      </c>
      <c r="D189" s="11" t="n"/>
      <c r="E189" s="11" t="n"/>
      <c r="F189" s="11">
        <f>IF($E189="","",IF($E189="Dead Lead","Black",IF(IF(ISNUMBER($J189),TODAY()-$J189&gt;3,FALSE),"Red",IF($E189="Reactivation Queue","Red",IF(OR($E189="First Deposit",$E189="Active"),"Green","Yellow")))))</f>
        <v/>
      </c>
      <c r="G189" s="11">
        <f>IF($F189="","",IF($F189="Red",1,IF($F189="Yellow",2,IF($F189="Green",3,4))))</f>
        <v/>
      </c>
      <c r="H189" s="14" t="n"/>
      <c r="I189" s="14" t="n"/>
      <c r="J189" s="12">
        <f>IF($E189="","",IF(AND(ISNUMBER($AD189),ISNUMBER($AE189)),MIN($AD189,$AE189),IF(ISNUMBER($AE189),$AE189,$AD189)))</f>
        <v/>
      </c>
      <c r="K189" s="11">
        <f>IF($E189="","",IF($E189="VIP Transferred",IF(N($AB189)&gt;=3,"Should be Dead Lead (3 attempts, still no deposit) - will auto-update","Day "&amp;CHOOSE(N($AB189)+1,1,2,3)&amp;" URGENT VIP check-in - help them finish KYC and lock in first deposit"),IF(AND($D189="",$E189&lt;&gt;"Dead Lead"),IF(N($T189)&gt;=3,"READY FOR DEAD LEAD (3 attempts, still no sign-up)","GET ROOBET SIGN-UP - "&amp;IFERROR(VLOOKUP($E189,Lists!$C$2:$E$20,2,FALSE),"")),IFERROR(VLOOKUP($E189,Lists!$C$2:$E$20,2,FALSE),""))))&amp;IF($AC189="Yes",IF(N($X189)&gt;=3," | VIP Team checkpoints complete - no more automatic check-ins"," | Day "&amp;CHOOSE(N($X189)+1,1,7,14)&amp;" VIP Team check-in - confirm active/depositing"),"")</f>
        <v/>
      </c>
      <c r="L189" s="11" t="n"/>
      <c r="M189" s="11" t="n"/>
      <c r="N189" s="15" t="n"/>
      <c r="O189" s="11">
        <f>IF($E189="","",IF(AND($E189="Active",$F189="Green"),"Yes","No"))</f>
        <v/>
      </c>
      <c r="P189" s="11" t="n"/>
      <c r="Q189">
        <f>IF($I189="","",ROUND(TODAY()-$I189,0))</f>
        <v/>
      </c>
      <c r="R189">
        <f>IF($B189="",0,IF(OR(AND(ISNUMBER($J189),$J189&lt;=TODAY(),$E189&lt;&gt;"Dead Lead"),AND($D189="",$E189&lt;&gt;"",$E189&lt;&gt;"Dead Lead",OR($I189="",$I189&lt;TODAY()))),1,0))</f>
        <v/>
      </c>
      <c r="S189">
        <f>IF($R189=1,SUMPRODUCT(($R$4:$R$203=1)*(($Q$4:$Q$203&gt;$Q189)+(($Q$4:$Q$203=$Q189)*(ROW($Q$4:$Q$203)&lt;ROW($Q189)))))+1,"")</f>
        <v/>
      </c>
      <c r="T189" s="11">
        <f>IF($B189="","",0)</f>
        <v/>
      </c>
      <c r="U189">
        <f>IF($B189="",0,IF($E189="Dead Lead",1,0))</f>
        <v/>
      </c>
      <c r="V189">
        <f>IF($U189=1,SUMPRODUCT(($U$4:$U$203=1)*(($J$4:$J$203&lt;$J189)+(($J$4:$J$203=$J189)*(ROW($J$4:$J$203)&lt;ROW($J189)))))+1,"")</f>
        <v/>
      </c>
      <c r="W189" s="12">
        <f>IF($B189="","","")</f>
        <v/>
      </c>
      <c r="X189" s="11">
        <f>IF($B189="","",0)</f>
        <v/>
      </c>
      <c r="Y189">
        <f>IF($B189="",0,IF(AND($R189=0,$E189&lt;&gt;"Dead Lead",ISNUMBER($J189),$J189&lt;=TODAY()+7),1,0))</f>
        <v/>
      </c>
      <c r="Z189">
        <f>IF($Y189=1,SUMPRODUCT(($Y$4:$Y$203=1)*(($J$4:$J$203&lt;$J189)+(($J$4:$J$203=$J189)*(ROW($J$4:$J$203)&lt;ROW($J189)))))+1,"")</f>
        <v/>
      </c>
      <c r="AA189" s="12">
        <f>IF($B189="","","")</f>
        <v/>
      </c>
      <c r="AB189" s="11">
        <f>IF($B189="","",0)</f>
        <v/>
      </c>
      <c r="AC189" s="11" t="n"/>
      <c r="AD189">
        <f>IF($E189="","",IF($E189="VIP Transferred",IF($AA189="","",IF(N($AB189)&gt;=3,"N/A - Closed",$AA189+CHOOSE(N($AB189)+1,1,2,3))),IF($I189="","",IF(VLOOKUP($E189,Lists!$C$2:$E$20,3,FALSE)="CLOSED","N/A - Closed",$I189+VLOOKUP($E189,Lists!$C$2:$E$20,3,FALSE)))))</f>
        <v/>
      </c>
      <c r="AE189">
        <f>IF(AND($AC189="Yes",$W189&lt;&gt;"",N($X189)&lt;3),$W189+CHOOSE(N($X189)+1,1,7,14),"")</f>
        <v/>
      </c>
      <c r="AF189" s="12">
        <f>IF($B189="","","")</f>
        <v/>
      </c>
    </row>
    <row r="190">
      <c r="A190" s="11">
        <f>IF($B190="","","YU-"&amp;TEXT(ROW()-3,"0000"))</f>
        <v/>
      </c>
      <c r="B190" s="11" t="n"/>
      <c r="C190" s="11" t="inlineStr">
        <is>
          <t>Discord</t>
        </is>
      </c>
      <c r="D190" s="11" t="n"/>
      <c r="E190" s="11" t="n"/>
      <c r="F190" s="11">
        <f>IF($E190="","",IF($E190="Dead Lead","Black",IF(IF(ISNUMBER($J190),TODAY()-$J190&gt;3,FALSE),"Red",IF($E190="Reactivation Queue","Red",IF(OR($E190="First Deposit",$E190="Active"),"Green","Yellow")))))</f>
        <v/>
      </c>
      <c r="G190" s="11">
        <f>IF($F190="","",IF($F190="Red",1,IF($F190="Yellow",2,IF($F190="Green",3,4))))</f>
        <v/>
      </c>
      <c r="H190" s="14" t="n"/>
      <c r="I190" s="14" t="n"/>
      <c r="J190" s="12">
        <f>IF($E190="","",IF(AND(ISNUMBER($AD190),ISNUMBER($AE190)),MIN($AD190,$AE190),IF(ISNUMBER($AE190),$AE190,$AD190)))</f>
        <v/>
      </c>
      <c r="K190" s="11">
        <f>IF($E190="","",IF($E190="VIP Transferred",IF(N($AB190)&gt;=3,"Should be Dead Lead (3 attempts, still no deposit) - will auto-update","Day "&amp;CHOOSE(N($AB190)+1,1,2,3)&amp;" URGENT VIP check-in - help them finish KYC and lock in first deposit"),IF(AND($D190="",$E190&lt;&gt;"Dead Lead"),IF(N($T190)&gt;=3,"READY FOR DEAD LEAD (3 attempts, still no sign-up)","GET ROOBET SIGN-UP - "&amp;IFERROR(VLOOKUP($E190,Lists!$C$2:$E$20,2,FALSE),"")),IFERROR(VLOOKUP($E190,Lists!$C$2:$E$20,2,FALSE),""))))&amp;IF($AC190="Yes",IF(N($X190)&gt;=3," | VIP Team checkpoints complete - no more automatic check-ins"," | Day "&amp;CHOOSE(N($X190)+1,1,7,14)&amp;" VIP Team check-in - confirm active/depositing"),"")</f>
        <v/>
      </c>
      <c r="L190" s="11" t="n"/>
      <c r="M190" s="11" t="n"/>
      <c r="N190" s="15" t="n"/>
      <c r="O190" s="11">
        <f>IF($E190="","",IF(AND($E190="Active",$F190="Green"),"Yes","No"))</f>
        <v/>
      </c>
      <c r="P190" s="11" t="n"/>
      <c r="Q190">
        <f>IF($I190="","",ROUND(TODAY()-$I190,0))</f>
        <v/>
      </c>
      <c r="R190">
        <f>IF($B190="",0,IF(OR(AND(ISNUMBER($J190),$J190&lt;=TODAY(),$E190&lt;&gt;"Dead Lead"),AND($D190="",$E190&lt;&gt;"",$E190&lt;&gt;"Dead Lead",OR($I190="",$I190&lt;TODAY()))),1,0))</f>
        <v/>
      </c>
      <c r="S190">
        <f>IF($R190=1,SUMPRODUCT(($R$4:$R$203=1)*(($Q$4:$Q$203&gt;$Q190)+(($Q$4:$Q$203=$Q190)*(ROW($Q$4:$Q$203)&lt;ROW($Q190)))))+1,"")</f>
        <v/>
      </c>
      <c r="T190" s="11">
        <f>IF($B190="","",0)</f>
        <v/>
      </c>
      <c r="U190">
        <f>IF($B190="",0,IF($E190="Dead Lead",1,0))</f>
        <v/>
      </c>
      <c r="V190">
        <f>IF($U190=1,SUMPRODUCT(($U$4:$U$203=1)*(($J$4:$J$203&lt;$J190)+(($J$4:$J$203=$J190)*(ROW($J$4:$J$203)&lt;ROW($J190)))))+1,"")</f>
        <v/>
      </c>
      <c r="W190" s="12">
        <f>IF($B190="","","")</f>
        <v/>
      </c>
      <c r="X190" s="11">
        <f>IF($B190="","",0)</f>
        <v/>
      </c>
      <c r="Y190">
        <f>IF($B190="",0,IF(AND($R190=0,$E190&lt;&gt;"Dead Lead",ISNUMBER($J190),$J190&lt;=TODAY()+7),1,0))</f>
        <v/>
      </c>
      <c r="Z190">
        <f>IF($Y190=1,SUMPRODUCT(($Y$4:$Y$203=1)*(($J$4:$J$203&lt;$J190)+(($J$4:$J$203=$J190)*(ROW($J$4:$J$203)&lt;ROW($J190)))))+1,"")</f>
        <v/>
      </c>
      <c r="AA190" s="12">
        <f>IF($B190="","","")</f>
        <v/>
      </c>
      <c r="AB190" s="11">
        <f>IF($B190="","",0)</f>
        <v/>
      </c>
      <c r="AC190" s="11" t="n"/>
      <c r="AD190">
        <f>IF($E190="","",IF($E190="VIP Transferred",IF($AA190="","",IF(N($AB190)&gt;=3,"N/A - Closed",$AA190+CHOOSE(N($AB190)+1,1,2,3))),IF($I190="","",IF(VLOOKUP($E190,Lists!$C$2:$E$20,3,FALSE)="CLOSED","N/A - Closed",$I190+VLOOKUP($E190,Lists!$C$2:$E$20,3,FALSE)))))</f>
        <v/>
      </c>
      <c r="AE190">
        <f>IF(AND($AC190="Yes",$W190&lt;&gt;"",N($X190)&lt;3),$W190+CHOOSE(N($X190)+1,1,7,14),"")</f>
        <v/>
      </c>
      <c r="AF190" s="12">
        <f>IF($B190="","","")</f>
        <v/>
      </c>
    </row>
    <row r="191">
      <c r="A191" s="11">
        <f>IF($B191="","","YU-"&amp;TEXT(ROW()-3,"0000"))</f>
        <v/>
      </c>
      <c r="B191" s="11" t="n"/>
      <c r="C191" s="11" t="inlineStr">
        <is>
          <t>Discord</t>
        </is>
      </c>
      <c r="D191" s="11" t="n"/>
      <c r="E191" s="11" t="n"/>
      <c r="F191" s="11">
        <f>IF($E191="","",IF($E191="Dead Lead","Black",IF(IF(ISNUMBER($J191),TODAY()-$J191&gt;3,FALSE),"Red",IF($E191="Reactivation Queue","Red",IF(OR($E191="First Deposit",$E191="Active"),"Green","Yellow")))))</f>
        <v/>
      </c>
      <c r="G191" s="11">
        <f>IF($F191="","",IF($F191="Red",1,IF($F191="Yellow",2,IF($F191="Green",3,4))))</f>
        <v/>
      </c>
      <c r="H191" s="14" t="n"/>
      <c r="I191" s="14" t="n"/>
      <c r="J191" s="12">
        <f>IF($E191="","",IF(AND(ISNUMBER($AD191),ISNUMBER($AE191)),MIN($AD191,$AE191),IF(ISNUMBER($AE191),$AE191,$AD191)))</f>
        <v/>
      </c>
      <c r="K191" s="11">
        <f>IF($E191="","",IF($E191="VIP Transferred",IF(N($AB191)&gt;=3,"Should be Dead Lead (3 attempts, still no deposit) - will auto-update","Day "&amp;CHOOSE(N($AB191)+1,1,2,3)&amp;" URGENT VIP check-in - help them finish KYC and lock in first deposit"),IF(AND($D191="",$E191&lt;&gt;"Dead Lead"),IF(N($T191)&gt;=3,"READY FOR DEAD LEAD (3 attempts, still no sign-up)","GET ROOBET SIGN-UP - "&amp;IFERROR(VLOOKUP($E191,Lists!$C$2:$E$20,2,FALSE),"")),IFERROR(VLOOKUP($E191,Lists!$C$2:$E$20,2,FALSE),""))))&amp;IF($AC191="Yes",IF(N($X191)&gt;=3," | VIP Team checkpoints complete - no more automatic check-ins"," | Day "&amp;CHOOSE(N($X191)+1,1,7,14)&amp;" VIP Team check-in - confirm active/depositing"),"")</f>
        <v/>
      </c>
      <c r="L191" s="11" t="n"/>
      <c r="M191" s="11" t="n"/>
      <c r="N191" s="15" t="n"/>
      <c r="O191" s="11">
        <f>IF($E191="","",IF(AND($E191="Active",$F191="Green"),"Yes","No"))</f>
        <v/>
      </c>
      <c r="P191" s="11" t="n"/>
      <c r="Q191">
        <f>IF($I191="","",ROUND(TODAY()-$I191,0))</f>
        <v/>
      </c>
      <c r="R191">
        <f>IF($B191="",0,IF(OR(AND(ISNUMBER($J191),$J191&lt;=TODAY(),$E191&lt;&gt;"Dead Lead"),AND($D191="",$E191&lt;&gt;"",$E191&lt;&gt;"Dead Lead",OR($I191="",$I191&lt;TODAY()))),1,0))</f>
        <v/>
      </c>
      <c r="S191">
        <f>IF($R191=1,SUMPRODUCT(($R$4:$R$203=1)*(($Q$4:$Q$203&gt;$Q191)+(($Q$4:$Q$203=$Q191)*(ROW($Q$4:$Q$203)&lt;ROW($Q191)))))+1,"")</f>
        <v/>
      </c>
      <c r="T191" s="11">
        <f>IF($B191="","",0)</f>
        <v/>
      </c>
      <c r="U191">
        <f>IF($B191="",0,IF($E191="Dead Lead",1,0))</f>
        <v/>
      </c>
      <c r="V191">
        <f>IF($U191=1,SUMPRODUCT(($U$4:$U$203=1)*(($J$4:$J$203&lt;$J191)+(($J$4:$J$203=$J191)*(ROW($J$4:$J$203)&lt;ROW($J191)))))+1,"")</f>
        <v/>
      </c>
      <c r="W191" s="12">
        <f>IF($B191="","","")</f>
        <v/>
      </c>
      <c r="X191" s="11">
        <f>IF($B191="","",0)</f>
        <v/>
      </c>
      <c r="Y191">
        <f>IF($B191="",0,IF(AND($R191=0,$E191&lt;&gt;"Dead Lead",ISNUMBER($J191),$J191&lt;=TODAY()+7),1,0))</f>
        <v/>
      </c>
      <c r="Z191">
        <f>IF($Y191=1,SUMPRODUCT(($Y$4:$Y$203=1)*(($J$4:$J$203&lt;$J191)+(($J$4:$J$203=$J191)*(ROW($J$4:$J$203)&lt;ROW($J191)))))+1,"")</f>
        <v/>
      </c>
      <c r="AA191" s="12">
        <f>IF($B191="","","")</f>
        <v/>
      </c>
      <c r="AB191" s="11">
        <f>IF($B191="","",0)</f>
        <v/>
      </c>
      <c r="AC191" s="11" t="n"/>
      <c r="AD191">
        <f>IF($E191="","",IF($E191="VIP Transferred",IF($AA191="","",IF(N($AB191)&gt;=3,"N/A - Closed",$AA191+CHOOSE(N($AB191)+1,1,2,3))),IF($I191="","",IF(VLOOKUP($E191,Lists!$C$2:$E$20,3,FALSE)="CLOSED","N/A - Closed",$I191+VLOOKUP($E191,Lists!$C$2:$E$20,3,FALSE)))))</f>
        <v/>
      </c>
      <c r="AE191">
        <f>IF(AND($AC191="Yes",$W191&lt;&gt;"",N($X191)&lt;3),$W191+CHOOSE(N($X191)+1,1,7,14),"")</f>
        <v/>
      </c>
      <c r="AF191" s="12">
        <f>IF($B191="","","")</f>
        <v/>
      </c>
    </row>
    <row r="192">
      <c r="A192" s="11">
        <f>IF($B192="","","YU-"&amp;TEXT(ROW()-3,"0000"))</f>
        <v/>
      </c>
      <c r="B192" s="11" t="n"/>
      <c r="C192" s="11" t="inlineStr">
        <is>
          <t>Discord</t>
        </is>
      </c>
      <c r="D192" s="11" t="n"/>
      <c r="E192" s="11" t="n"/>
      <c r="F192" s="11">
        <f>IF($E192="","",IF($E192="Dead Lead","Black",IF(IF(ISNUMBER($J192),TODAY()-$J192&gt;3,FALSE),"Red",IF($E192="Reactivation Queue","Red",IF(OR($E192="First Deposit",$E192="Active"),"Green","Yellow")))))</f>
        <v/>
      </c>
      <c r="G192" s="11">
        <f>IF($F192="","",IF($F192="Red",1,IF($F192="Yellow",2,IF($F192="Green",3,4))))</f>
        <v/>
      </c>
      <c r="H192" s="14" t="n"/>
      <c r="I192" s="14" t="n"/>
      <c r="J192" s="12">
        <f>IF($E192="","",IF(AND(ISNUMBER($AD192),ISNUMBER($AE192)),MIN($AD192,$AE192),IF(ISNUMBER($AE192),$AE192,$AD192)))</f>
        <v/>
      </c>
      <c r="K192" s="11">
        <f>IF($E192="","",IF($E192="VIP Transferred",IF(N($AB192)&gt;=3,"Should be Dead Lead (3 attempts, still no deposit) - will auto-update","Day "&amp;CHOOSE(N($AB192)+1,1,2,3)&amp;" URGENT VIP check-in - help them finish KYC and lock in first deposit"),IF(AND($D192="",$E192&lt;&gt;"Dead Lead"),IF(N($T192)&gt;=3,"READY FOR DEAD LEAD (3 attempts, still no sign-up)","GET ROOBET SIGN-UP - "&amp;IFERROR(VLOOKUP($E192,Lists!$C$2:$E$20,2,FALSE),"")),IFERROR(VLOOKUP($E192,Lists!$C$2:$E$20,2,FALSE),""))))&amp;IF($AC192="Yes",IF(N($X192)&gt;=3," | VIP Team checkpoints complete - no more automatic check-ins"," | Day "&amp;CHOOSE(N($X192)+1,1,7,14)&amp;" VIP Team check-in - confirm active/depositing"),"")</f>
        <v/>
      </c>
      <c r="L192" s="11" t="n"/>
      <c r="M192" s="11" t="n"/>
      <c r="N192" s="15" t="n"/>
      <c r="O192" s="11">
        <f>IF($E192="","",IF(AND($E192="Active",$F192="Green"),"Yes","No"))</f>
        <v/>
      </c>
      <c r="P192" s="11" t="n"/>
      <c r="Q192">
        <f>IF($I192="","",ROUND(TODAY()-$I192,0))</f>
        <v/>
      </c>
      <c r="R192">
        <f>IF($B192="",0,IF(OR(AND(ISNUMBER($J192),$J192&lt;=TODAY(),$E192&lt;&gt;"Dead Lead"),AND($D192="",$E192&lt;&gt;"",$E192&lt;&gt;"Dead Lead",OR($I192="",$I192&lt;TODAY()))),1,0))</f>
        <v/>
      </c>
      <c r="S192">
        <f>IF($R192=1,SUMPRODUCT(($R$4:$R$203=1)*(($Q$4:$Q$203&gt;$Q192)+(($Q$4:$Q$203=$Q192)*(ROW($Q$4:$Q$203)&lt;ROW($Q192)))))+1,"")</f>
        <v/>
      </c>
      <c r="T192" s="11">
        <f>IF($B192="","",0)</f>
        <v/>
      </c>
      <c r="U192">
        <f>IF($B192="",0,IF($E192="Dead Lead",1,0))</f>
        <v/>
      </c>
      <c r="V192">
        <f>IF($U192=1,SUMPRODUCT(($U$4:$U$203=1)*(($J$4:$J$203&lt;$J192)+(($J$4:$J$203=$J192)*(ROW($J$4:$J$203)&lt;ROW($J192)))))+1,"")</f>
        <v/>
      </c>
      <c r="W192" s="12">
        <f>IF($B192="","","")</f>
        <v/>
      </c>
      <c r="X192" s="11">
        <f>IF($B192="","",0)</f>
        <v/>
      </c>
      <c r="Y192">
        <f>IF($B192="",0,IF(AND($R192=0,$E192&lt;&gt;"Dead Lead",ISNUMBER($J192),$J192&lt;=TODAY()+7),1,0))</f>
        <v/>
      </c>
      <c r="Z192">
        <f>IF($Y192=1,SUMPRODUCT(($Y$4:$Y$203=1)*(($J$4:$J$203&lt;$J192)+(($J$4:$J$203=$J192)*(ROW($J$4:$J$203)&lt;ROW($J192)))))+1,"")</f>
        <v/>
      </c>
      <c r="AA192" s="12">
        <f>IF($B192="","","")</f>
        <v/>
      </c>
      <c r="AB192" s="11">
        <f>IF($B192="","",0)</f>
        <v/>
      </c>
      <c r="AC192" s="11" t="n"/>
      <c r="AD192">
        <f>IF($E192="","",IF($E192="VIP Transferred",IF($AA192="","",IF(N($AB192)&gt;=3,"N/A - Closed",$AA192+CHOOSE(N($AB192)+1,1,2,3))),IF($I192="","",IF(VLOOKUP($E192,Lists!$C$2:$E$20,3,FALSE)="CLOSED","N/A - Closed",$I192+VLOOKUP($E192,Lists!$C$2:$E$20,3,FALSE)))))</f>
        <v/>
      </c>
      <c r="AE192">
        <f>IF(AND($AC192="Yes",$W192&lt;&gt;"",N($X192)&lt;3),$W192+CHOOSE(N($X192)+1,1,7,14),"")</f>
        <v/>
      </c>
      <c r="AF192" s="12">
        <f>IF($B192="","","")</f>
        <v/>
      </c>
    </row>
    <row r="193">
      <c r="A193" s="11">
        <f>IF($B193="","","YU-"&amp;TEXT(ROW()-3,"0000"))</f>
        <v/>
      </c>
      <c r="B193" s="11" t="n"/>
      <c r="C193" s="11" t="inlineStr">
        <is>
          <t>Discord</t>
        </is>
      </c>
      <c r="D193" s="11" t="n"/>
      <c r="E193" s="11" t="n"/>
      <c r="F193" s="11">
        <f>IF($E193="","",IF($E193="Dead Lead","Black",IF(IF(ISNUMBER($J193),TODAY()-$J193&gt;3,FALSE),"Red",IF($E193="Reactivation Queue","Red",IF(OR($E193="First Deposit",$E193="Active"),"Green","Yellow")))))</f>
        <v/>
      </c>
      <c r="G193" s="11">
        <f>IF($F193="","",IF($F193="Red",1,IF($F193="Yellow",2,IF($F193="Green",3,4))))</f>
        <v/>
      </c>
      <c r="H193" s="14" t="n"/>
      <c r="I193" s="14" t="n"/>
      <c r="J193" s="12">
        <f>IF($E193="","",IF(AND(ISNUMBER($AD193),ISNUMBER($AE193)),MIN($AD193,$AE193),IF(ISNUMBER($AE193),$AE193,$AD193)))</f>
        <v/>
      </c>
      <c r="K193" s="11">
        <f>IF($E193="","",IF($E193="VIP Transferred",IF(N($AB193)&gt;=3,"Should be Dead Lead (3 attempts, still no deposit) - will auto-update","Day "&amp;CHOOSE(N($AB193)+1,1,2,3)&amp;" URGENT VIP check-in - help them finish KYC and lock in first deposit"),IF(AND($D193="",$E193&lt;&gt;"Dead Lead"),IF(N($T193)&gt;=3,"READY FOR DEAD LEAD (3 attempts, still no sign-up)","GET ROOBET SIGN-UP - "&amp;IFERROR(VLOOKUP($E193,Lists!$C$2:$E$20,2,FALSE),"")),IFERROR(VLOOKUP($E193,Lists!$C$2:$E$20,2,FALSE),""))))&amp;IF($AC193="Yes",IF(N($X193)&gt;=3," | VIP Team checkpoints complete - no more automatic check-ins"," | Day "&amp;CHOOSE(N($X193)+1,1,7,14)&amp;" VIP Team check-in - confirm active/depositing"),"")</f>
        <v/>
      </c>
      <c r="L193" s="11" t="n"/>
      <c r="M193" s="11" t="n"/>
      <c r="N193" s="15" t="n"/>
      <c r="O193" s="11">
        <f>IF($E193="","",IF(AND($E193="Active",$F193="Green"),"Yes","No"))</f>
        <v/>
      </c>
      <c r="P193" s="11" t="n"/>
      <c r="Q193">
        <f>IF($I193="","",ROUND(TODAY()-$I193,0))</f>
        <v/>
      </c>
      <c r="R193">
        <f>IF($B193="",0,IF(OR(AND(ISNUMBER($J193),$J193&lt;=TODAY(),$E193&lt;&gt;"Dead Lead"),AND($D193="",$E193&lt;&gt;"",$E193&lt;&gt;"Dead Lead",OR($I193="",$I193&lt;TODAY()))),1,0))</f>
        <v/>
      </c>
      <c r="S193">
        <f>IF($R193=1,SUMPRODUCT(($R$4:$R$203=1)*(($Q$4:$Q$203&gt;$Q193)+(($Q$4:$Q$203=$Q193)*(ROW($Q$4:$Q$203)&lt;ROW($Q193)))))+1,"")</f>
        <v/>
      </c>
      <c r="T193" s="11">
        <f>IF($B193="","",0)</f>
        <v/>
      </c>
      <c r="U193">
        <f>IF($B193="",0,IF($E193="Dead Lead",1,0))</f>
        <v/>
      </c>
      <c r="V193">
        <f>IF($U193=1,SUMPRODUCT(($U$4:$U$203=1)*(($J$4:$J$203&lt;$J193)+(($J$4:$J$203=$J193)*(ROW($J$4:$J$203)&lt;ROW($J193)))))+1,"")</f>
        <v/>
      </c>
      <c r="W193" s="12">
        <f>IF($B193="","","")</f>
        <v/>
      </c>
      <c r="X193" s="11">
        <f>IF($B193="","",0)</f>
        <v/>
      </c>
      <c r="Y193">
        <f>IF($B193="",0,IF(AND($R193=0,$E193&lt;&gt;"Dead Lead",ISNUMBER($J193),$J193&lt;=TODAY()+7),1,0))</f>
        <v/>
      </c>
      <c r="Z193">
        <f>IF($Y193=1,SUMPRODUCT(($Y$4:$Y$203=1)*(($J$4:$J$203&lt;$J193)+(($J$4:$J$203=$J193)*(ROW($J$4:$J$203)&lt;ROW($J193)))))+1,"")</f>
        <v/>
      </c>
      <c r="AA193" s="12">
        <f>IF($B193="","","")</f>
        <v/>
      </c>
      <c r="AB193" s="11">
        <f>IF($B193="","",0)</f>
        <v/>
      </c>
      <c r="AC193" s="11" t="n"/>
      <c r="AD193">
        <f>IF($E193="","",IF($E193="VIP Transferred",IF($AA193="","",IF(N($AB193)&gt;=3,"N/A - Closed",$AA193+CHOOSE(N($AB193)+1,1,2,3))),IF($I193="","",IF(VLOOKUP($E193,Lists!$C$2:$E$20,3,FALSE)="CLOSED","N/A - Closed",$I193+VLOOKUP($E193,Lists!$C$2:$E$20,3,FALSE)))))</f>
        <v/>
      </c>
      <c r="AE193">
        <f>IF(AND($AC193="Yes",$W193&lt;&gt;"",N($X193)&lt;3),$W193+CHOOSE(N($X193)+1,1,7,14),"")</f>
        <v/>
      </c>
      <c r="AF193" s="12">
        <f>IF($B193="","","")</f>
        <v/>
      </c>
    </row>
    <row r="194">
      <c r="A194" s="11">
        <f>IF($B194="","","YU-"&amp;TEXT(ROW()-3,"0000"))</f>
        <v/>
      </c>
      <c r="B194" s="11" t="n"/>
      <c r="C194" s="11" t="inlineStr">
        <is>
          <t>Discord</t>
        </is>
      </c>
      <c r="D194" s="11" t="n"/>
      <c r="E194" s="11" t="n"/>
      <c r="F194" s="11">
        <f>IF($E194="","",IF($E194="Dead Lead","Black",IF(IF(ISNUMBER($J194),TODAY()-$J194&gt;3,FALSE),"Red",IF($E194="Reactivation Queue","Red",IF(OR($E194="First Deposit",$E194="Active"),"Green","Yellow")))))</f>
        <v/>
      </c>
      <c r="G194" s="11">
        <f>IF($F194="","",IF($F194="Red",1,IF($F194="Yellow",2,IF($F194="Green",3,4))))</f>
        <v/>
      </c>
      <c r="H194" s="14" t="n"/>
      <c r="I194" s="14" t="n"/>
      <c r="J194" s="12">
        <f>IF($E194="","",IF(AND(ISNUMBER($AD194),ISNUMBER($AE194)),MIN($AD194,$AE194),IF(ISNUMBER($AE194),$AE194,$AD194)))</f>
        <v/>
      </c>
      <c r="K194" s="11">
        <f>IF($E194="","",IF($E194="VIP Transferred",IF(N($AB194)&gt;=3,"Should be Dead Lead (3 attempts, still no deposit) - will auto-update","Day "&amp;CHOOSE(N($AB194)+1,1,2,3)&amp;" URGENT VIP check-in - help them finish KYC and lock in first deposit"),IF(AND($D194="",$E194&lt;&gt;"Dead Lead"),IF(N($T194)&gt;=3,"READY FOR DEAD LEAD (3 attempts, still no sign-up)","GET ROOBET SIGN-UP - "&amp;IFERROR(VLOOKUP($E194,Lists!$C$2:$E$20,2,FALSE),"")),IFERROR(VLOOKUP($E194,Lists!$C$2:$E$20,2,FALSE),""))))&amp;IF($AC194="Yes",IF(N($X194)&gt;=3," | VIP Team checkpoints complete - no more automatic check-ins"," | Day "&amp;CHOOSE(N($X194)+1,1,7,14)&amp;" VIP Team check-in - confirm active/depositing"),"")</f>
        <v/>
      </c>
      <c r="L194" s="11" t="n"/>
      <c r="M194" s="11" t="n"/>
      <c r="N194" s="15" t="n"/>
      <c r="O194" s="11">
        <f>IF($E194="","",IF(AND($E194="Active",$F194="Green"),"Yes","No"))</f>
        <v/>
      </c>
      <c r="P194" s="11" t="n"/>
      <c r="Q194">
        <f>IF($I194="","",ROUND(TODAY()-$I194,0))</f>
        <v/>
      </c>
      <c r="R194">
        <f>IF($B194="",0,IF(OR(AND(ISNUMBER($J194),$J194&lt;=TODAY(),$E194&lt;&gt;"Dead Lead"),AND($D194="",$E194&lt;&gt;"",$E194&lt;&gt;"Dead Lead",OR($I194="",$I194&lt;TODAY()))),1,0))</f>
        <v/>
      </c>
      <c r="S194">
        <f>IF($R194=1,SUMPRODUCT(($R$4:$R$203=1)*(($Q$4:$Q$203&gt;$Q194)+(($Q$4:$Q$203=$Q194)*(ROW($Q$4:$Q$203)&lt;ROW($Q194)))))+1,"")</f>
        <v/>
      </c>
      <c r="T194" s="11">
        <f>IF($B194="","",0)</f>
        <v/>
      </c>
      <c r="U194">
        <f>IF($B194="",0,IF($E194="Dead Lead",1,0))</f>
        <v/>
      </c>
      <c r="V194">
        <f>IF($U194=1,SUMPRODUCT(($U$4:$U$203=1)*(($J$4:$J$203&lt;$J194)+(($J$4:$J$203=$J194)*(ROW($J$4:$J$203)&lt;ROW($J194)))))+1,"")</f>
        <v/>
      </c>
      <c r="W194" s="12">
        <f>IF($B194="","","")</f>
        <v/>
      </c>
      <c r="X194" s="11">
        <f>IF($B194="","",0)</f>
        <v/>
      </c>
      <c r="Y194">
        <f>IF($B194="",0,IF(AND($R194=0,$E194&lt;&gt;"Dead Lead",ISNUMBER($J194),$J194&lt;=TODAY()+7),1,0))</f>
        <v/>
      </c>
      <c r="Z194">
        <f>IF($Y194=1,SUMPRODUCT(($Y$4:$Y$203=1)*(($J$4:$J$203&lt;$J194)+(($J$4:$J$203=$J194)*(ROW($J$4:$J$203)&lt;ROW($J194)))))+1,"")</f>
        <v/>
      </c>
      <c r="AA194" s="12">
        <f>IF($B194="","","")</f>
        <v/>
      </c>
      <c r="AB194" s="11">
        <f>IF($B194="","",0)</f>
        <v/>
      </c>
      <c r="AC194" s="11" t="n"/>
      <c r="AD194">
        <f>IF($E194="","",IF($E194="VIP Transferred",IF($AA194="","",IF(N($AB194)&gt;=3,"N/A - Closed",$AA194+CHOOSE(N($AB194)+1,1,2,3))),IF($I194="","",IF(VLOOKUP($E194,Lists!$C$2:$E$20,3,FALSE)="CLOSED","N/A - Closed",$I194+VLOOKUP($E194,Lists!$C$2:$E$20,3,FALSE)))))</f>
        <v/>
      </c>
      <c r="AE194">
        <f>IF(AND($AC194="Yes",$W194&lt;&gt;"",N($X194)&lt;3),$W194+CHOOSE(N($X194)+1,1,7,14),"")</f>
        <v/>
      </c>
      <c r="AF194" s="12">
        <f>IF($B194="","","")</f>
        <v/>
      </c>
    </row>
    <row r="195">
      <c r="A195" s="11">
        <f>IF($B195="","","YU-"&amp;TEXT(ROW()-3,"0000"))</f>
        <v/>
      </c>
      <c r="B195" s="11" t="n"/>
      <c r="C195" s="11" t="inlineStr">
        <is>
          <t>Discord</t>
        </is>
      </c>
      <c r="D195" s="11" t="n"/>
      <c r="E195" s="11" t="n"/>
      <c r="F195" s="11">
        <f>IF($E195="","",IF($E195="Dead Lead","Black",IF(IF(ISNUMBER($J195),TODAY()-$J195&gt;3,FALSE),"Red",IF($E195="Reactivation Queue","Red",IF(OR($E195="First Deposit",$E195="Active"),"Green","Yellow")))))</f>
        <v/>
      </c>
      <c r="G195" s="11">
        <f>IF($F195="","",IF($F195="Red",1,IF($F195="Yellow",2,IF($F195="Green",3,4))))</f>
        <v/>
      </c>
      <c r="H195" s="14" t="n"/>
      <c r="I195" s="14" t="n"/>
      <c r="J195" s="12">
        <f>IF($E195="","",IF(AND(ISNUMBER($AD195),ISNUMBER($AE195)),MIN($AD195,$AE195),IF(ISNUMBER($AE195),$AE195,$AD195)))</f>
        <v/>
      </c>
      <c r="K195" s="11">
        <f>IF($E195="","",IF($E195="VIP Transferred",IF(N($AB195)&gt;=3,"Should be Dead Lead (3 attempts, still no deposit) - will auto-update","Day "&amp;CHOOSE(N($AB195)+1,1,2,3)&amp;" URGENT VIP check-in - help them finish KYC and lock in first deposit"),IF(AND($D195="",$E195&lt;&gt;"Dead Lead"),IF(N($T195)&gt;=3,"READY FOR DEAD LEAD (3 attempts, still no sign-up)","GET ROOBET SIGN-UP - "&amp;IFERROR(VLOOKUP($E195,Lists!$C$2:$E$20,2,FALSE),"")),IFERROR(VLOOKUP($E195,Lists!$C$2:$E$20,2,FALSE),""))))&amp;IF($AC195="Yes",IF(N($X195)&gt;=3," | VIP Team checkpoints complete - no more automatic check-ins"," | Day "&amp;CHOOSE(N($X195)+1,1,7,14)&amp;" VIP Team check-in - confirm active/depositing"),"")</f>
        <v/>
      </c>
      <c r="L195" s="11" t="n"/>
      <c r="M195" s="11" t="n"/>
      <c r="N195" s="15" t="n"/>
      <c r="O195" s="11">
        <f>IF($E195="","",IF(AND($E195="Active",$F195="Green"),"Yes","No"))</f>
        <v/>
      </c>
      <c r="P195" s="11" t="n"/>
      <c r="Q195">
        <f>IF($I195="","",ROUND(TODAY()-$I195,0))</f>
        <v/>
      </c>
      <c r="R195">
        <f>IF($B195="",0,IF(OR(AND(ISNUMBER($J195),$J195&lt;=TODAY(),$E195&lt;&gt;"Dead Lead"),AND($D195="",$E195&lt;&gt;"",$E195&lt;&gt;"Dead Lead",OR($I195="",$I195&lt;TODAY()))),1,0))</f>
        <v/>
      </c>
      <c r="S195">
        <f>IF($R195=1,SUMPRODUCT(($R$4:$R$203=1)*(($Q$4:$Q$203&gt;$Q195)+(($Q$4:$Q$203=$Q195)*(ROW($Q$4:$Q$203)&lt;ROW($Q195)))))+1,"")</f>
        <v/>
      </c>
      <c r="T195" s="11">
        <f>IF($B195="","",0)</f>
        <v/>
      </c>
      <c r="U195">
        <f>IF($B195="",0,IF($E195="Dead Lead",1,0))</f>
        <v/>
      </c>
      <c r="V195">
        <f>IF($U195=1,SUMPRODUCT(($U$4:$U$203=1)*(($J$4:$J$203&lt;$J195)+(($J$4:$J$203=$J195)*(ROW($J$4:$J$203)&lt;ROW($J195)))))+1,"")</f>
        <v/>
      </c>
      <c r="W195" s="12">
        <f>IF($B195="","","")</f>
        <v/>
      </c>
      <c r="X195" s="11">
        <f>IF($B195="","",0)</f>
        <v/>
      </c>
      <c r="Y195">
        <f>IF($B195="",0,IF(AND($R195=0,$E195&lt;&gt;"Dead Lead",ISNUMBER($J195),$J195&lt;=TODAY()+7),1,0))</f>
        <v/>
      </c>
      <c r="Z195">
        <f>IF($Y195=1,SUMPRODUCT(($Y$4:$Y$203=1)*(($J$4:$J$203&lt;$J195)+(($J$4:$J$203=$J195)*(ROW($J$4:$J$203)&lt;ROW($J195)))))+1,"")</f>
        <v/>
      </c>
      <c r="AA195" s="12">
        <f>IF($B195="","","")</f>
        <v/>
      </c>
      <c r="AB195" s="11">
        <f>IF($B195="","",0)</f>
        <v/>
      </c>
      <c r="AC195" s="11" t="n"/>
      <c r="AD195">
        <f>IF($E195="","",IF($E195="VIP Transferred",IF($AA195="","",IF(N($AB195)&gt;=3,"N/A - Closed",$AA195+CHOOSE(N($AB195)+1,1,2,3))),IF($I195="","",IF(VLOOKUP($E195,Lists!$C$2:$E$20,3,FALSE)="CLOSED","N/A - Closed",$I195+VLOOKUP($E195,Lists!$C$2:$E$20,3,FALSE)))))</f>
        <v/>
      </c>
      <c r="AE195">
        <f>IF(AND($AC195="Yes",$W195&lt;&gt;"",N($X195)&lt;3),$W195+CHOOSE(N($X195)+1,1,7,14),"")</f>
        <v/>
      </c>
      <c r="AF195" s="12">
        <f>IF($B195="","","")</f>
        <v/>
      </c>
    </row>
    <row r="196">
      <c r="A196" s="11">
        <f>IF($B196="","","YU-"&amp;TEXT(ROW()-3,"0000"))</f>
        <v/>
      </c>
      <c r="B196" s="11" t="n"/>
      <c r="C196" s="11" t="inlineStr">
        <is>
          <t>Discord</t>
        </is>
      </c>
      <c r="D196" s="11" t="n"/>
      <c r="E196" s="11" t="n"/>
      <c r="F196" s="11">
        <f>IF($E196="","",IF($E196="Dead Lead","Black",IF(IF(ISNUMBER($J196),TODAY()-$J196&gt;3,FALSE),"Red",IF($E196="Reactivation Queue","Red",IF(OR($E196="First Deposit",$E196="Active"),"Green","Yellow")))))</f>
        <v/>
      </c>
      <c r="G196" s="11">
        <f>IF($F196="","",IF($F196="Red",1,IF($F196="Yellow",2,IF($F196="Green",3,4))))</f>
        <v/>
      </c>
      <c r="H196" s="14" t="n"/>
      <c r="I196" s="14" t="n"/>
      <c r="J196" s="12">
        <f>IF($E196="","",IF(AND(ISNUMBER($AD196),ISNUMBER($AE196)),MIN($AD196,$AE196),IF(ISNUMBER($AE196),$AE196,$AD196)))</f>
        <v/>
      </c>
      <c r="K196" s="11">
        <f>IF($E196="","",IF($E196="VIP Transferred",IF(N($AB196)&gt;=3,"Should be Dead Lead (3 attempts, still no deposit) - will auto-update","Day "&amp;CHOOSE(N($AB196)+1,1,2,3)&amp;" URGENT VIP check-in - help them finish KYC and lock in first deposit"),IF(AND($D196="",$E196&lt;&gt;"Dead Lead"),IF(N($T196)&gt;=3,"READY FOR DEAD LEAD (3 attempts, still no sign-up)","GET ROOBET SIGN-UP - "&amp;IFERROR(VLOOKUP($E196,Lists!$C$2:$E$20,2,FALSE),"")),IFERROR(VLOOKUP($E196,Lists!$C$2:$E$20,2,FALSE),""))))&amp;IF($AC196="Yes",IF(N($X196)&gt;=3," | VIP Team checkpoints complete - no more automatic check-ins"," | Day "&amp;CHOOSE(N($X196)+1,1,7,14)&amp;" VIP Team check-in - confirm active/depositing"),"")</f>
        <v/>
      </c>
      <c r="L196" s="11" t="n"/>
      <c r="M196" s="11" t="n"/>
      <c r="N196" s="15" t="n"/>
      <c r="O196" s="11">
        <f>IF($E196="","",IF(AND($E196="Active",$F196="Green"),"Yes","No"))</f>
        <v/>
      </c>
      <c r="P196" s="11" t="n"/>
      <c r="Q196">
        <f>IF($I196="","",ROUND(TODAY()-$I196,0))</f>
        <v/>
      </c>
      <c r="R196">
        <f>IF($B196="",0,IF(OR(AND(ISNUMBER($J196),$J196&lt;=TODAY(),$E196&lt;&gt;"Dead Lead"),AND($D196="",$E196&lt;&gt;"",$E196&lt;&gt;"Dead Lead",OR($I196="",$I196&lt;TODAY()))),1,0))</f>
        <v/>
      </c>
      <c r="S196">
        <f>IF($R196=1,SUMPRODUCT(($R$4:$R$203=1)*(($Q$4:$Q$203&gt;$Q196)+(($Q$4:$Q$203=$Q196)*(ROW($Q$4:$Q$203)&lt;ROW($Q196)))))+1,"")</f>
        <v/>
      </c>
      <c r="T196" s="11">
        <f>IF($B196="","",0)</f>
        <v/>
      </c>
      <c r="U196">
        <f>IF($B196="",0,IF($E196="Dead Lead",1,0))</f>
        <v/>
      </c>
      <c r="V196">
        <f>IF($U196=1,SUMPRODUCT(($U$4:$U$203=1)*(($J$4:$J$203&lt;$J196)+(($J$4:$J$203=$J196)*(ROW($J$4:$J$203)&lt;ROW($J196)))))+1,"")</f>
        <v/>
      </c>
      <c r="W196" s="12">
        <f>IF($B196="","","")</f>
        <v/>
      </c>
      <c r="X196" s="11">
        <f>IF($B196="","",0)</f>
        <v/>
      </c>
      <c r="Y196">
        <f>IF($B196="",0,IF(AND($R196=0,$E196&lt;&gt;"Dead Lead",ISNUMBER($J196),$J196&lt;=TODAY()+7),1,0))</f>
        <v/>
      </c>
      <c r="Z196">
        <f>IF($Y196=1,SUMPRODUCT(($Y$4:$Y$203=1)*(($J$4:$J$203&lt;$J196)+(($J$4:$J$203=$J196)*(ROW($J$4:$J$203)&lt;ROW($J196)))))+1,"")</f>
        <v/>
      </c>
      <c r="AA196" s="12">
        <f>IF($B196="","","")</f>
        <v/>
      </c>
      <c r="AB196" s="11">
        <f>IF($B196="","",0)</f>
        <v/>
      </c>
      <c r="AC196" s="11" t="n"/>
      <c r="AD196">
        <f>IF($E196="","",IF($E196="VIP Transferred",IF($AA196="","",IF(N($AB196)&gt;=3,"N/A - Closed",$AA196+CHOOSE(N($AB196)+1,1,2,3))),IF($I196="","",IF(VLOOKUP($E196,Lists!$C$2:$E$20,3,FALSE)="CLOSED","N/A - Closed",$I196+VLOOKUP($E196,Lists!$C$2:$E$20,3,FALSE)))))</f>
        <v/>
      </c>
      <c r="AE196">
        <f>IF(AND($AC196="Yes",$W196&lt;&gt;"",N($X196)&lt;3),$W196+CHOOSE(N($X196)+1,1,7,14),"")</f>
        <v/>
      </c>
      <c r="AF196" s="12">
        <f>IF($B196="","","")</f>
        <v/>
      </c>
    </row>
    <row r="197">
      <c r="A197" s="11">
        <f>IF($B197="","","YU-"&amp;TEXT(ROW()-3,"0000"))</f>
        <v/>
      </c>
      <c r="B197" s="11" t="n"/>
      <c r="C197" s="11" t="inlineStr">
        <is>
          <t>Discord</t>
        </is>
      </c>
      <c r="D197" s="11" t="n"/>
      <c r="E197" s="11" t="n"/>
      <c r="F197" s="11">
        <f>IF($E197="","",IF($E197="Dead Lead","Black",IF(IF(ISNUMBER($J197),TODAY()-$J197&gt;3,FALSE),"Red",IF($E197="Reactivation Queue","Red",IF(OR($E197="First Deposit",$E197="Active"),"Green","Yellow")))))</f>
        <v/>
      </c>
      <c r="G197" s="11">
        <f>IF($F197="","",IF($F197="Red",1,IF($F197="Yellow",2,IF($F197="Green",3,4))))</f>
        <v/>
      </c>
      <c r="H197" s="14" t="n"/>
      <c r="I197" s="14" t="n"/>
      <c r="J197" s="12">
        <f>IF($E197="","",IF(AND(ISNUMBER($AD197),ISNUMBER($AE197)),MIN($AD197,$AE197),IF(ISNUMBER($AE197),$AE197,$AD197)))</f>
        <v/>
      </c>
      <c r="K197" s="11">
        <f>IF($E197="","",IF($E197="VIP Transferred",IF(N($AB197)&gt;=3,"Should be Dead Lead (3 attempts, still no deposit) - will auto-update","Day "&amp;CHOOSE(N($AB197)+1,1,2,3)&amp;" URGENT VIP check-in - help them finish KYC and lock in first deposit"),IF(AND($D197="",$E197&lt;&gt;"Dead Lead"),IF(N($T197)&gt;=3,"READY FOR DEAD LEAD (3 attempts, still no sign-up)","GET ROOBET SIGN-UP - "&amp;IFERROR(VLOOKUP($E197,Lists!$C$2:$E$20,2,FALSE),"")),IFERROR(VLOOKUP($E197,Lists!$C$2:$E$20,2,FALSE),""))))&amp;IF($AC197="Yes",IF(N($X197)&gt;=3," | VIP Team checkpoints complete - no more automatic check-ins"," | Day "&amp;CHOOSE(N($X197)+1,1,7,14)&amp;" VIP Team check-in - confirm active/depositing"),"")</f>
        <v/>
      </c>
      <c r="L197" s="11" t="n"/>
      <c r="M197" s="11" t="n"/>
      <c r="N197" s="15" t="n"/>
      <c r="O197" s="11">
        <f>IF($E197="","",IF(AND($E197="Active",$F197="Green"),"Yes","No"))</f>
        <v/>
      </c>
      <c r="P197" s="11" t="n"/>
      <c r="Q197">
        <f>IF($I197="","",ROUND(TODAY()-$I197,0))</f>
        <v/>
      </c>
      <c r="R197">
        <f>IF($B197="",0,IF(OR(AND(ISNUMBER($J197),$J197&lt;=TODAY(),$E197&lt;&gt;"Dead Lead"),AND($D197="",$E197&lt;&gt;"",$E197&lt;&gt;"Dead Lead",OR($I197="",$I197&lt;TODAY()))),1,0))</f>
        <v/>
      </c>
      <c r="S197">
        <f>IF($R197=1,SUMPRODUCT(($R$4:$R$203=1)*(($Q$4:$Q$203&gt;$Q197)+(($Q$4:$Q$203=$Q197)*(ROW($Q$4:$Q$203)&lt;ROW($Q197)))))+1,"")</f>
        <v/>
      </c>
      <c r="T197" s="11">
        <f>IF($B197="","",0)</f>
        <v/>
      </c>
      <c r="U197">
        <f>IF($B197="",0,IF($E197="Dead Lead",1,0))</f>
        <v/>
      </c>
      <c r="V197">
        <f>IF($U197=1,SUMPRODUCT(($U$4:$U$203=1)*(($J$4:$J$203&lt;$J197)+(($J$4:$J$203=$J197)*(ROW($J$4:$J$203)&lt;ROW($J197)))))+1,"")</f>
        <v/>
      </c>
      <c r="W197" s="12">
        <f>IF($B197="","","")</f>
        <v/>
      </c>
      <c r="X197" s="11">
        <f>IF($B197="","",0)</f>
        <v/>
      </c>
      <c r="Y197">
        <f>IF($B197="",0,IF(AND($R197=0,$E197&lt;&gt;"Dead Lead",ISNUMBER($J197),$J197&lt;=TODAY()+7),1,0))</f>
        <v/>
      </c>
      <c r="Z197">
        <f>IF($Y197=1,SUMPRODUCT(($Y$4:$Y$203=1)*(($J$4:$J$203&lt;$J197)+(($J$4:$J$203=$J197)*(ROW($J$4:$J$203)&lt;ROW($J197)))))+1,"")</f>
        <v/>
      </c>
      <c r="AA197" s="12">
        <f>IF($B197="","","")</f>
        <v/>
      </c>
      <c r="AB197" s="11">
        <f>IF($B197="","",0)</f>
        <v/>
      </c>
      <c r="AC197" s="11" t="n"/>
      <c r="AD197">
        <f>IF($E197="","",IF($E197="VIP Transferred",IF($AA197="","",IF(N($AB197)&gt;=3,"N/A - Closed",$AA197+CHOOSE(N($AB197)+1,1,2,3))),IF($I197="","",IF(VLOOKUP($E197,Lists!$C$2:$E$20,3,FALSE)="CLOSED","N/A - Closed",$I197+VLOOKUP($E197,Lists!$C$2:$E$20,3,FALSE)))))</f>
        <v/>
      </c>
      <c r="AE197">
        <f>IF(AND($AC197="Yes",$W197&lt;&gt;"",N($X197)&lt;3),$W197+CHOOSE(N($X197)+1,1,7,14),"")</f>
        <v/>
      </c>
      <c r="AF197" s="12">
        <f>IF($B197="","","")</f>
        <v/>
      </c>
    </row>
    <row r="198">
      <c r="A198" s="11">
        <f>IF($B198="","","YU-"&amp;TEXT(ROW()-3,"0000"))</f>
        <v/>
      </c>
      <c r="B198" s="11" t="n"/>
      <c r="C198" s="11" t="inlineStr">
        <is>
          <t>Discord</t>
        </is>
      </c>
      <c r="D198" s="11" t="n"/>
      <c r="E198" s="11" t="n"/>
      <c r="F198" s="11">
        <f>IF($E198="","",IF($E198="Dead Lead","Black",IF(IF(ISNUMBER($J198),TODAY()-$J198&gt;3,FALSE),"Red",IF($E198="Reactivation Queue","Red",IF(OR($E198="First Deposit",$E198="Active"),"Green","Yellow")))))</f>
        <v/>
      </c>
      <c r="G198" s="11">
        <f>IF($F198="","",IF($F198="Red",1,IF($F198="Yellow",2,IF($F198="Green",3,4))))</f>
        <v/>
      </c>
      <c r="H198" s="14" t="n"/>
      <c r="I198" s="14" t="n"/>
      <c r="J198" s="12">
        <f>IF($E198="","",IF(AND(ISNUMBER($AD198),ISNUMBER($AE198)),MIN($AD198,$AE198),IF(ISNUMBER($AE198),$AE198,$AD198)))</f>
        <v/>
      </c>
      <c r="K198" s="11">
        <f>IF($E198="","",IF($E198="VIP Transferred",IF(N($AB198)&gt;=3,"Should be Dead Lead (3 attempts, still no deposit) - will auto-update","Day "&amp;CHOOSE(N($AB198)+1,1,2,3)&amp;" URGENT VIP check-in - help them finish KYC and lock in first deposit"),IF(AND($D198="",$E198&lt;&gt;"Dead Lead"),IF(N($T198)&gt;=3,"READY FOR DEAD LEAD (3 attempts, still no sign-up)","GET ROOBET SIGN-UP - "&amp;IFERROR(VLOOKUP($E198,Lists!$C$2:$E$20,2,FALSE),"")),IFERROR(VLOOKUP($E198,Lists!$C$2:$E$20,2,FALSE),""))))&amp;IF($AC198="Yes",IF(N($X198)&gt;=3," | VIP Team checkpoints complete - no more automatic check-ins"," | Day "&amp;CHOOSE(N($X198)+1,1,7,14)&amp;" VIP Team check-in - confirm active/depositing"),"")</f>
        <v/>
      </c>
      <c r="L198" s="11" t="n"/>
      <c r="M198" s="11" t="n"/>
      <c r="N198" s="15" t="n"/>
      <c r="O198" s="11">
        <f>IF($E198="","",IF(AND($E198="Active",$F198="Green"),"Yes","No"))</f>
        <v/>
      </c>
      <c r="P198" s="11" t="n"/>
      <c r="Q198">
        <f>IF($I198="","",ROUND(TODAY()-$I198,0))</f>
        <v/>
      </c>
      <c r="R198">
        <f>IF($B198="",0,IF(OR(AND(ISNUMBER($J198),$J198&lt;=TODAY(),$E198&lt;&gt;"Dead Lead"),AND($D198="",$E198&lt;&gt;"",$E198&lt;&gt;"Dead Lead",OR($I198="",$I198&lt;TODAY()))),1,0))</f>
        <v/>
      </c>
      <c r="S198">
        <f>IF($R198=1,SUMPRODUCT(($R$4:$R$203=1)*(($Q$4:$Q$203&gt;$Q198)+(($Q$4:$Q$203=$Q198)*(ROW($Q$4:$Q$203)&lt;ROW($Q198)))))+1,"")</f>
        <v/>
      </c>
      <c r="T198" s="11">
        <f>IF($B198="","",0)</f>
        <v/>
      </c>
      <c r="U198">
        <f>IF($B198="",0,IF($E198="Dead Lead",1,0))</f>
        <v/>
      </c>
      <c r="V198">
        <f>IF($U198=1,SUMPRODUCT(($U$4:$U$203=1)*(($J$4:$J$203&lt;$J198)+(($J$4:$J$203=$J198)*(ROW($J$4:$J$203)&lt;ROW($J198)))))+1,"")</f>
        <v/>
      </c>
      <c r="W198" s="12">
        <f>IF($B198="","","")</f>
        <v/>
      </c>
      <c r="X198" s="11">
        <f>IF($B198="","",0)</f>
        <v/>
      </c>
      <c r="Y198">
        <f>IF($B198="",0,IF(AND($R198=0,$E198&lt;&gt;"Dead Lead",ISNUMBER($J198),$J198&lt;=TODAY()+7),1,0))</f>
        <v/>
      </c>
      <c r="Z198">
        <f>IF($Y198=1,SUMPRODUCT(($Y$4:$Y$203=1)*(($J$4:$J$203&lt;$J198)+(($J$4:$J$203=$J198)*(ROW($J$4:$J$203)&lt;ROW($J198)))))+1,"")</f>
        <v/>
      </c>
      <c r="AA198" s="12">
        <f>IF($B198="","","")</f>
        <v/>
      </c>
      <c r="AB198" s="11">
        <f>IF($B198="","",0)</f>
        <v/>
      </c>
      <c r="AC198" s="11" t="n"/>
      <c r="AD198">
        <f>IF($E198="","",IF($E198="VIP Transferred",IF($AA198="","",IF(N($AB198)&gt;=3,"N/A - Closed",$AA198+CHOOSE(N($AB198)+1,1,2,3))),IF($I198="","",IF(VLOOKUP($E198,Lists!$C$2:$E$20,3,FALSE)="CLOSED","N/A - Closed",$I198+VLOOKUP($E198,Lists!$C$2:$E$20,3,FALSE)))))</f>
        <v/>
      </c>
      <c r="AE198">
        <f>IF(AND($AC198="Yes",$W198&lt;&gt;"",N($X198)&lt;3),$W198+CHOOSE(N($X198)+1,1,7,14),"")</f>
        <v/>
      </c>
      <c r="AF198" s="12">
        <f>IF($B198="","","")</f>
        <v/>
      </c>
    </row>
    <row r="199">
      <c r="A199" s="11">
        <f>IF($B199="","","YU-"&amp;TEXT(ROW()-3,"0000"))</f>
        <v/>
      </c>
      <c r="B199" s="11" t="n"/>
      <c r="C199" s="11" t="inlineStr">
        <is>
          <t>Discord</t>
        </is>
      </c>
      <c r="D199" s="11" t="n"/>
      <c r="E199" s="11" t="n"/>
      <c r="F199" s="11">
        <f>IF($E199="","",IF($E199="Dead Lead","Black",IF(IF(ISNUMBER($J199),TODAY()-$J199&gt;3,FALSE),"Red",IF($E199="Reactivation Queue","Red",IF(OR($E199="First Deposit",$E199="Active"),"Green","Yellow")))))</f>
        <v/>
      </c>
      <c r="G199" s="11">
        <f>IF($F199="","",IF($F199="Red",1,IF($F199="Yellow",2,IF($F199="Green",3,4))))</f>
        <v/>
      </c>
      <c r="H199" s="14" t="n"/>
      <c r="I199" s="14" t="n"/>
      <c r="J199" s="12">
        <f>IF($E199="","",IF(AND(ISNUMBER($AD199),ISNUMBER($AE199)),MIN($AD199,$AE199),IF(ISNUMBER($AE199),$AE199,$AD199)))</f>
        <v/>
      </c>
      <c r="K199" s="11">
        <f>IF($E199="","",IF($E199="VIP Transferred",IF(N($AB199)&gt;=3,"Should be Dead Lead (3 attempts, still no deposit) - will auto-update","Day "&amp;CHOOSE(N($AB199)+1,1,2,3)&amp;" URGENT VIP check-in - help them finish KYC and lock in first deposit"),IF(AND($D199="",$E199&lt;&gt;"Dead Lead"),IF(N($T199)&gt;=3,"READY FOR DEAD LEAD (3 attempts, still no sign-up)","GET ROOBET SIGN-UP - "&amp;IFERROR(VLOOKUP($E199,Lists!$C$2:$E$20,2,FALSE),"")),IFERROR(VLOOKUP($E199,Lists!$C$2:$E$20,2,FALSE),""))))&amp;IF($AC199="Yes",IF(N($X199)&gt;=3," | VIP Team checkpoints complete - no more automatic check-ins"," | Day "&amp;CHOOSE(N($X199)+1,1,7,14)&amp;" VIP Team check-in - confirm active/depositing"),"")</f>
        <v/>
      </c>
      <c r="L199" s="11" t="n"/>
      <c r="M199" s="11" t="n"/>
      <c r="N199" s="15" t="n"/>
      <c r="O199" s="11">
        <f>IF($E199="","",IF(AND($E199="Active",$F199="Green"),"Yes","No"))</f>
        <v/>
      </c>
      <c r="P199" s="11" t="n"/>
      <c r="Q199">
        <f>IF($I199="","",ROUND(TODAY()-$I199,0))</f>
        <v/>
      </c>
      <c r="R199">
        <f>IF($B199="",0,IF(OR(AND(ISNUMBER($J199),$J199&lt;=TODAY(),$E199&lt;&gt;"Dead Lead"),AND($D199="",$E199&lt;&gt;"",$E199&lt;&gt;"Dead Lead",OR($I199="",$I199&lt;TODAY()))),1,0))</f>
        <v/>
      </c>
      <c r="S199">
        <f>IF($R199=1,SUMPRODUCT(($R$4:$R$203=1)*(($Q$4:$Q$203&gt;$Q199)+(($Q$4:$Q$203=$Q199)*(ROW($Q$4:$Q$203)&lt;ROW($Q199)))))+1,"")</f>
        <v/>
      </c>
      <c r="T199" s="11">
        <f>IF($B199="","",0)</f>
        <v/>
      </c>
      <c r="U199">
        <f>IF($B199="",0,IF($E199="Dead Lead",1,0))</f>
        <v/>
      </c>
      <c r="V199">
        <f>IF($U199=1,SUMPRODUCT(($U$4:$U$203=1)*(($J$4:$J$203&lt;$J199)+(($J$4:$J$203=$J199)*(ROW($J$4:$J$203)&lt;ROW($J199)))))+1,"")</f>
        <v/>
      </c>
      <c r="W199" s="12">
        <f>IF($B199="","","")</f>
        <v/>
      </c>
      <c r="X199" s="11">
        <f>IF($B199="","",0)</f>
        <v/>
      </c>
      <c r="Y199">
        <f>IF($B199="",0,IF(AND($R199=0,$E199&lt;&gt;"Dead Lead",ISNUMBER($J199),$J199&lt;=TODAY()+7),1,0))</f>
        <v/>
      </c>
      <c r="Z199">
        <f>IF($Y199=1,SUMPRODUCT(($Y$4:$Y$203=1)*(($J$4:$J$203&lt;$J199)+(($J$4:$J$203=$J199)*(ROW($J$4:$J$203)&lt;ROW($J199)))))+1,"")</f>
        <v/>
      </c>
      <c r="AA199" s="12">
        <f>IF($B199="","","")</f>
        <v/>
      </c>
      <c r="AB199" s="11">
        <f>IF($B199="","",0)</f>
        <v/>
      </c>
      <c r="AC199" s="11" t="n"/>
      <c r="AD199">
        <f>IF($E199="","",IF($E199="VIP Transferred",IF($AA199="","",IF(N($AB199)&gt;=3,"N/A - Closed",$AA199+CHOOSE(N($AB199)+1,1,2,3))),IF($I199="","",IF(VLOOKUP($E199,Lists!$C$2:$E$20,3,FALSE)="CLOSED","N/A - Closed",$I199+VLOOKUP($E199,Lists!$C$2:$E$20,3,FALSE)))))</f>
        <v/>
      </c>
      <c r="AE199">
        <f>IF(AND($AC199="Yes",$W199&lt;&gt;"",N($X199)&lt;3),$W199+CHOOSE(N($X199)+1,1,7,14),"")</f>
        <v/>
      </c>
      <c r="AF199" s="12">
        <f>IF($B199="","","")</f>
        <v/>
      </c>
    </row>
    <row r="200">
      <c r="A200" s="11">
        <f>IF($B200="","","YU-"&amp;TEXT(ROW()-3,"0000"))</f>
        <v/>
      </c>
      <c r="B200" s="11" t="n"/>
      <c r="C200" s="11" t="inlineStr">
        <is>
          <t>Discord</t>
        </is>
      </c>
      <c r="D200" s="11" t="n"/>
      <c r="E200" s="11" t="n"/>
      <c r="F200" s="11">
        <f>IF($E200="","",IF($E200="Dead Lead","Black",IF(IF(ISNUMBER($J200),TODAY()-$J200&gt;3,FALSE),"Red",IF($E200="Reactivation Queue","Red",IF(OR($E200="First Deposit",$E200="Active"),"Green","Yellow")))))</f>
        <v/>
      </c>
      <c r="G200" s="11">
        <f>IF($F200="","",IF($F200="Red",1,IF($F200="Yellow",2,IF($F200="Green",3,4))))</f>
        <v/>
      </c>
      <c r="H200" s="14" t="n"/>
      <c r="I200" s="14" t="n"/>
      <c r="J200" s="12">
        <f>IF($E200="","",IF(AND(ISNUMBER($AD200),ISNUMBER($AE200)),MIN($AD200,$AE200),IF(ISNUMBER($AE200),$AE200,$AD200)))</f>
        <v/>
      </c>
      <c r="K200" s="11">
        <f>IF($E200="","",IF($E200="VIP Transferred",IF(N($AB200)&gt;=3,"Should be Dead Lead (3 attempts, still no deposit) - will auto-update","Day "&amp;CHOOSE(N($AB200)+1,1,2,3)&amp;" URGENT VIP check-in - help them finish KYC and lock in first deposit"),IF(AND($D200="",$E200&lt;&gt;"Dead Lead"),IF(N($T200)&gt;=3,"READY FOR DEAD LEAD (3 attempts, still no sign-up)","GET ROOBET SIGN-UP - "&amp;IFERROR(VLOOKUP($E200,Lists!$C$2:$E$20,2,FALSE),"")),IFERROR(VLOOKUP($E200,Lists!$C$2:$E$20,2,FALSE),""))))&amp;IF($AC200="Yes",IF(N($X200)&gt;=3," | VIP Team checkpoints complete - no more automatic check-ins"," | Day "&amp;CHOOSE(N($X200)+1,1,7,14)&amp;" VIP Team check-in - confirm active/depositing"),"")</f>
        <v/>
      </c>
      <c r="L200" s="11" t="n"/>
      <c r="M200" s="11" t="n"/>
      <c r="N200" s="15" t="n"/>
      <c r="O200" s="11">
        <f>IF($E200="","",IF(AND($E200="Active",$F200="Green"),"Yes","No"))</f>
        <v/>
      </c>
      <c r="P200" s="11" t="n"/>
      <c r="Q200">
        <f>IF($I200="","",ROUND(TODAY()-$I200,0))</f>
        <v/>
      </c>
      <c r="R200">
        <f>IF($B200="",0,IF(OR(AND(ISNUMBER($J200),$J200&lt;=TODAY(),$E200&lt;&gt;"Dead Lead"),AND($D200="",$E200&lt;&gt;"",$E200&lt;&gt;"Dead Lead",OR($I200="",$I200&lt;TODAY()))),1,0))</f>
        <v/>
      </c>
      <c r="S200">
        <f>IF($R200=1,SUMPRODUCT(($R$4:$R$203=1)*(($Q$4:$Q$203&gt;$Q200)+(($Q$4:$Q$203=$Q200)*(ROW($Q$4:$Q$203)&lt;ROW($Q200)))))+1,"")</f>
        <v/>
      </c>
      <c r="T200" s="11">
        <f>IF($B200="","",0)</f>
        <v/>
      </c>
      <c r="U200">
        <f>IF($B200="",0,IF($E200="Dead Lead",1,0))</f>
        <v/>
      </c>
      <c r="V200">
        <f>IF($U200=1,SUMPRODUCT(($U$4:$U$203=1)*(($J$4:$J$203&lt;$J200)+(($J$4:$J$203=$J200)*(ROW($J$4:$J$203)&lt;ROW($J200)))))+1,"")</f>
        <v/>
      </c>
      <c r="W200" s="12">
        <f>IF($B200="","","")</f>
        <v/>
      </c>
      <c r="X200" s="11">
        <f>IF($B200="","",0)</f>
        <v/>
      </c>
      <c r="Y200">
        <f>IF($B200="",0,IF(AND($R200=0,$E200&lt;&gt;"Dead Lead",ISNUMBER($J200),$J200&lt;=TODAY()+7),1,0))</f>
        <v/>
      </c>
      <c r="Z200">
        <f>IF($Y200=1,SUMPRODUCT(($Y$4:$Y$203=1)*(($J$4:$J$203&lt;$J200)+(($J$4:$J$203=$J200)*(ROW($J$4:$J$203)&lt;ROW($J200)))))+1,"")</f>
        <v/>
      </c>
      <c r="AA200" s="12">
        <f>IF($B200="","","")</f>
        <v/>
      </c>
      <c r="AB200" s="11">
        <f>IF($B200="","",0)</f>
        <v/>
      </c>
      <c r="AC200" s="11" t="n"/>
      <c r="AD200">
        <f>IF($E200="","",IF($E200="VIP Transferred",IF($AA200="","",IF(N($AB200)&gt;=3,"N/A - Closed",$AA200+CHOOSE(N($AB200)+1,1,2,3))),IF($I200="","",IF(VLOOKUP($E200,Lists!$C$2:$E$20,3,FALSE)="CLOSED","N/A - Closed",$I200+VLOOKUP($E200,Lists!$C$2:$E$20,3,FALSE)))))</f>
        <v/>
      </c>
      <c r="AE200">
        <f>IF(AND($AC200="Yes",$W200&lt;&gt;"",N($X200)&lt;3),$W200+CHOOSE(N($X200)+1,1,7,14),"")</f>
        <v/>
      </c>
      <c r="AF200" s="12">
        <f>IF($B200="","","")</f>
        <v/>
      </c>
    </row>
    <row r="201">
      <c r="A201" s="11">
        <f>IF($B201="","","YU-"&amp;TEXT(ROW()-3,"0000"))</f>
        <v/>
      </c>
      <c r="B201" s="11" t="n"/>
      <c r="C201" s="11" t="inlineStr">
        <is>
          <t>Discord</t>
        </is>
      </c>
      <c r="D201" s="11" t="n"/>
      <c r="E201" s="11" t="n"/>
      <c r="F201" s="11">
        <f>IF($E201="","",IF($E201="Dead Lead","Black",IF(IF(ISNUMBER($J201),TODAY()-$J201&gt;3,FALSE),"Red",IF($E201="Reactivation Queue","Red",IF(OR($E201="First Deposit",$E201="Active"),"Green","Yellow")))))</f>
        <v/>
      </c>
      <c r="G201" s="11">
        <f>IF($F201="","",IF($F201="Red",1,IF($F201="Yellow",2,IF($F201="Green",3,4))))</f>
        <v/>
      </c>
      <c r="H201" s="14" t="n"/>
      <c r="I201" s="14" t="n"/>
      <c r="J201" s="12">
        <f>IF($E201="","",IF(AND(ISNUMBER($AD201),ISNUMBER($AE201)),MIN($AD201,$AE201),IF(ISNUMBER($AE201),$AE201,$AD201)))</f>
        <v/>
      </c>
      <c r="K201" s="11">
        <f>IF($E201="","",IF($E201="VIP Transferred",IF(N($AB201)&gt;=3,"Should be Dead Lead (3 attempts, still no deposit) - will auto-update","Day "&amp;CHOOSE(N($AB201)+1,1,2,3)&amp;" URGENT VIP check-in - help them finish KYC and lock in first deposit"),IF(AND($D201="",$E201&lt;&gt;"Dead Lead"),IF(N($T201)&gt;=3,"READY FOR DEAD LEAD (3 attempts, still no sign-up)","GET ROOBET SIGN-UP - "&amp;IFERROR(VLOOKUP($E201,Lists!$C$2:$E$20,2,FALSE),"")),IFERROR(VLOOKUP($E201,Lists!$C$2:$E$20,2,FALSE),""))))&amp;IF($AC201="Yes",IF(N($X201)&gt;=3," | VIP Team checkpoints complete - no more automatic check-ins"," | Day "&amp;CHOOSE(N($X201)+1,1,7,14)&amp;" VIP Team check-in - confirm active/depositing"),"")</f>
        <v/>
      </c>
      <c r="L201" s="11" t="n"/>
      <c r="M201" s="11" t="n"/>
      <c r="N201" s="15" t="n"/>
      <c r="O201" s="11">
        <f>IF($E201="","",IF(AND($E201="Active",$F201="Green"),"Yes","No"))</f>
        <v/>
      </c>
      <c r="P201" s="11" t="n"/>
      <c r="Q201">
        <f>IF($I201="","",ROUND(TODAY()-$I201,0))</f>
        <v/>
      </c>
      <c r="R201">
        <f>IF($B201="",0,IF(OR(AND(ISNUMBER($J201),$J201&lt;=TODAY(),$E201&lt;&gt;"Dead Lead"),AND($D201="",$E201&lt;&gt;"",$E201&lt;&gt;"Dead Lead",OR($I201="",$I201&lt;TODAY()))),1,0))</f>
        <v/>
      </c>
      <c r="S201">
        <f>IF($R201=1,SUMPRODUCT(($R$4:$R$203=1)*(($Q$4:$Q$203&gt;$Q201)+(($Q$4:$Q$203=$Q201)*(ROW($Q$4:$Q$203)&lt;ROW($Q201)))))+1,"")</f>
        <v/>
      </c>
      <c r="T201" s="11">
        <f>IF($B201="","",0)</f>
        <v/>
      </c>
      <c r="U201">
        <f>IF($B201="",0,IF($E201="Dead Lead",1,0))</f>
        <v/>
      </c>
      <c r="V201">
        <f>IF($U201=1,SUMPRODUCT(($U$4:$U$203=1)*(($J$4:$J$203&lt;$J201)+(($J$4:$J$203=$J201)*(ROW($J$4:$J$203)&lt;ROW($J201)))))+1,"")</f>
        <v/>
      </c>
      <c r="W201" s="12">
        <f>IF($B201="","","")</f>
        <v/>
      </c>
      <c r="X201" s="11">
        <f>IF($B201="","",0)</f>
        <v/>
      </c>
      <c r="Y201">
        <f>IF($B201="",0,IF(AND($R201=0,$E201&lt;&gt;"Dead Lead",ISNUMBER($J201),$J201&lt;=TODAY()+7),1,0))</f>
        <v/>
      </c>
      <c r="Z201">
        <f>IF($Y201=1,SUMPRODUCT(($Y$4:$Y$203=1)*(($J$4:$J$203&lt;$J201)+(($J$4:$J$203=$J201)*(ROW($J$4:$J$203)&lt;ROW($J201)))))+1,"")</f>
        <v/>
      </c>
      <c r="AA201" s="12">
        <f>IF($B201="","","")</f>
        <v/>
      </c>
      <c r="AB201" s="11">
        <f>IF($B201="","",0)</f>
        <v/>
      </c>
      <c r="AC201" s="11" t="n"/>
      <c r="AD201">
        <f>IF($E201="","",IF($E201="VIP Transferred",IF($AA201="","",IF(N($AB201)&gt;=3,"N/A - Closed",$AA201+CHOOSE(N($AB201)+1,1,2,3))),IF($I201="","",IF(VLOOKUP($E201,Lists!$C$2:$E$20,3,FALSE)="CLOSED","N/A - Closed",$I201+VLOOKUP($E201,Lists!$C$2:$E$20,3,FALSE)))))</f>
        <v/>
      </c>
      <c r="AE201">
        <f>IF(AND($AC201="Yes",$W201&lt;&gt;"",N($X201)&lt;3),$W201+CHOOSE(N($X201)+1,1,7,14),"")</f>
        <v/>
      </c>
      <c r="AF201" s="12">
        <f>IF($B201="","","")</f>
        <v/>
      </c>
    </row>
    <row r="202">
      <c r="A202" s="11">
        <f>IF($B202="","","YU-"&amp;TEXT(ROW()-3,"0000"))</f>
        <v/>
      </c>
      <c r="B202" s="11" t="n"/>
      <c r="C202" s="11" t="inlineStr">
        <is>
          <t>Discord</t>
        </is>
      </c>
      <c r="D202" s="11" t="n"/>
      <c r="E202" s="11" t="n"/>
      <c r="F202" s="11">
        <f>IF($E202="","",IF($E202="Dead Lead","Black",IF(IF(ISNUMBER($J202),TODAY()-$J202&gt;3,FALSE),"Red",IF($E202="Reactivation Queue","Red",IF(OR($E202="First Deposit",$E202="Active"),"Green","Yellow")))))</f>
        <v/>
      </c>
      <c r="G202" s="11">
        <f>IF($F202="","",IF($F202="Red",1,IF($F202="Yellow",2,IF($F202="Green",3,4))))</f>
        <v/>
      </c>
      <c r="H202" s="14" t="n"/>
      <c r="I202" s="14" t="n"/>
      <c r="J202" s="12">
        <f>IF($E202="","",IF(AND(ISNUMBER($AD202),ISNUMBER($AE202)),MIN($AD202,$AE202),IF(ISNUMBER($AE202),$AE202,$AD202)))</f>
        <v/>
      </c>
      <c r="K202" s="11">
        <f>IF($E202="","",IF($E202="VIP Transferred",IF(N($AB202)&gt;=3,"Should be Dead Lead (3 attempts, still no deposit) - will auto-update","Day "&amp;CHOOSE(N($AB202)+1,1,2,3)&amp;" URGENT VIP check-in - help them finish KYC and lock in first deposit"),IF(AND($D202="",$E202&lt;&gt;"Dead Lead"),IF(N($T202)&gt;=3,"READY FOR DEAD LEAD (3 attempts, still no sign-up)","GET ROOBET SIGN-UP - "&amp;IFERROR(VLOOKUP($E202,Lists!$C$2:$E$20,2,FALSE),"")),IFERROR(VLOOKUP($E202,Lists!$C$2:$E$20,2,FALSE),""))))&amp;IF($AC202="Yes",IF(N($X202)&gt;=3," | VIP Team checkpoints complete - no more automatic check-ins"," | Day "&amp;CHOOSE(N($X202)+1,1,7,14)&amp;" VIP Team check-in - confirm active/depositing"),"")</f>
        <v/>
      </c>
      <c r="L202" s="11" t="n"/>
      <c r="M202" s="11" t="n"/>
      <c r="N202" s="15" t="n"/>
      <c r="O202" s="11">
        <f>IF($E202="","",IF(AND($E202="Active",$F202="Green"),"Yes","No"))</f>
        <v/>
      </c>
      <c r="P202" s="11" t="n"/>
      <c r="Q202">
        <f>IF($I202="","",ROUND(TODAY()-$I202,0))</f>
        <v/>
      </c>
      <c r="R202">
        <f>IF($B202="",0,IF(OR(AND(ISNUMBER($J202),$J202&lt;=TODAY(),$E202&lt;&gt;"Dead Lead"),AND($D202="",$E202&lt;&gt;"",$E202&lt;&gt;"Dead Lead",OR($I202="",$I202&lt;TODAY()))),1,0))</f>
        <v/>
      </c>
      <c r="S202">
        <f>IF($R202=1,SUMPRODUCT(($R$4:$R$203=1)*(($Q$4:$Q$203&gt;$Q202)+(($Q$4:$Q$203=$Q202)*(ROW($Q$4:$Q$203)&lt;ROW($Q202)))))+1,"")</f>
        <v/>
      </c>
      <c r="T202" s="11">
        <f>IF($B202="","",0)</f>
        <v/>
      </c>
      <c r="U202">
        <f>IF($B202="",0,IF($E202="Dead Lead",1,0))</f>
        <v/>
      </c>
      <c r="V202">
        <f>IF($U202=1,SUMPRODUCT(($U$4:$U$203=1)*(($J$4:$J$203&lt;$J202)+(($J$4:$J$203=$J202)*(ROW($J$4:$J$203)&lt;ROW($J202)))))+1,"")</f>
        <v/>
      </c>
      <c r="W202" s="12">
        <f>IF($B202="","","")</f>
        <v/>
      </c>
      <c r="X202" s="11">
        <f>IF($B202="","",0)</f>
        <v/>
      </c>
      <c r="Y202">
        <f>IF($B202="",0,IF(AND($R202=0,$E202&lt;&gt;"Dead Lead",ISNUMBER($J202),$J202&lt;=TODAY()+7),1,0))</f>
        <v/>
      </c>
      <c r="Z202">
        <f>IF($Y202=1,SUMPRODUCT(($Y$4:$Y$203=1)*(($J$4:$J$203&lt;$J202)+(($J$4:$J$203=$J202)*(ROW($J$4:$J$203)&lt;ROW($J202)))))+1,"")</f>
        <v/>
      </c>
      <c r="AA202" s="12">
        <f>IF($B202="","","")</f>
        <v/>
      </c>
      <c r="AB202" s="11">
        <f>IF($B202="","",0)</f>
        <v/>
      </c>
      <c r="AC202" s="11" t="n"/>
      <c r="AD202">
        <f>IF($E202="","",IF($E202="VIP Transferred",IF($AA202="","",IF(N($AB202)&gt;=3,"N/A - Closed",$AA202+CHOOSE(N($AB202)+1,1,2,3))),IF($I202="","",IF(VLOOKUP($E202,Lists!$C$2:$E$20,3,FALSE)="CLOSED","N/A - Closed",$I202+VLOOKUP($E202,Lists!$C$2:$E$20,3,FALSE)))))</f>
        <v/>
      </c>
      <c r="AE202">
        <f>IF(AND($AC202="Yes",$W202&lt;&gt;"",N($X202)&lt;3),$W202+CHOOSE(N($X202)+1,1,7,14),"")</f>
        <v/>
      </c>
      <c r="AF202" s="12">
        <f>IF($B202="","","")</f>
        <v/>
      </c>
    </row>
    <row r="203">
      <c r="A203" s="11">
        <f>IF($B203="","","YU-"&amp;TEXT(ROW()-3,"0000"))</f>
        <v/>
      </c>
      <c r="B203" s="11" t="n"/>
      <c r="C203" s="11" t="inlineStr">
        <is>
          <t>Discord</t>
        </is>
      </c>
      <c r="D203" s="11" t="n"/>
      <c r="E203" s="11" t="n"/>
      <c r="F203" s="11">
        <f>IF($E203="","",IF($E203="Dead Lead","Black",IF(IF(ISNUMBER($J203),TODAY()-$J203&gt;3,FALSE),"Red",IF($E203="Reactivation Queue","Red",IF(OR($E203="First Deposit",$E203="Active"),"Green","Yellow")))))</f>
        <v/>
      </c>
      <c r="G203" s="11">
        <f>IF($F203="","",IF($F203="Red",1,IF($F203="Yellow",2,IF($F203="Green",3,4))))</f>
        <v/>
      </c>
      <c r="H203" s="14" t="n"/>
      <c r="I203" s="14" t="n"/>
      <c r="J203" s="12">
        <f>IF($E203="","",IF(AND(ISNUMBER($AD203),ISNUMBER($AE203)),MIN($AD203,$AE203),IF(ISNUMBER($AE203),$AE203,$AD203)))</f>
        <v/>
      </c>
      <c r="K203" s="11">
        <f>IF($E203="","",IF($E203="VIP Transferred",IF(N($AB203)&gt;=3,"Should be Dead Lead (3 attempts, still no deposit) - will auto-update","Day "&amp;CHOOSE(N($AB203)+1,1,2,3)&amp;" URGENT VIP check-in - help them finish KYC and lock in first deposit"),IF(AND($D203="",$E203&lt;&gt;"Dead Lead"),IF(N($T203)&gt;=3,"READY FOR DEAD LEAD (3 attempts, still no sign-up)","GET ROOBET SIGN-UP - "&amp;IFERROR(VLOOKUP($E203,Lists!$C$2:$E$20,2,FALSE),"")),IFERROR(VLOOKUP($E203,Lists!$C$2:$E$20,2,FALSE),""))))&amp;IF($AC203="Yes",IF(N($X203)&gt;=3," | VIP Team checkpoints complete - no more automatic check-ins"," | Day "&amp;CHOOSE(N($X203)+1,1,7,14)&amp;" VIP Team check-in - confirm active/depositing"),"")</f>
        <v/>
      </c>
      <c r="L203" s="11" t="n"/>
      <c r="M203" s="11" t="n"/>
      <c r="N203" s="15" t="n"/>
      <c r="O203" s="11">
        <f>IF($E203="","",IF(AND($E203="Active",$F203="Green"),"Yes","No"))</f>
        <v/>
      </c>
      <c r="P203" s="11" t="n"/>
      <c r="Q203">
        <f>IF($I203="","",ROUND(TODAY()-$I203,0))</f>
        <v/>
      </c>
      <c r="R203">
        <f>IF($B203="",0,IF(OR(AND(ISNUMBER($J203),$J203&lt;=TODAY(),$E203&lt;&gt;"Dead Lead"),AND($D203="",$E203&lt;&gt;"",$E203&lt;&gt;"Dead Lead",OR($I203="",$I203&lt;TODAY()))),1,0))</f>
        <v/>
      </c>
      <c r="S203">
        <f>IF($R203=1,SUMPRODUCT(($R$4:$R$203=1)*(($Q$4:$Q$203&gt;$Q203)+(($Q$4:$Q$203=$Q203)*(ROW($Q$4:$Q$203)&lt;ROW($Q203)))))+1,"")</f>
        <v/>
      </c>
      <c r="T203" s="11">
        <f>IF($B203="","",0)</f>
        <v/>
      </c>
      <c r="U203">
        <f>IF($B203="",0,IF($E203="Dead Lead",1,0))</f>
        <v/>
      </c>
      <c r="V203">
        <f>IF($U203=1,SUMPRODUCT(($U$4:$U$203=1)*(($J$4:$J$203&lt;$J203)+(($J$4:$J$203=$J203)*(ROW($J$4:$J$203)&lt;ROW($J203)))))+1,"")</f>
        <v/>
      </c>
      <c r="W203" s="12">
        <f>IF($B203="","","")</f>
        <v/>
      </c>
      <c r="X203" s="11">
        <f>IF($B203="","",0)</f>
        <v/>
      </c>
      <c r="Y203">
        <f>IF($B203="",0,IF(AND($R203=0,$E203&lt;&gt;"Dead Lead",ISNUMBER($J203),$J203&lt;=TODAY()+7),1,0))</f>
        <v/>
      </c>
      <c r="Z203">
        <f>IF($Y203=1,SUMPRODUCT(($Y$4:$Y$203=1)*(($J$4:$J$203&lt;$J203)+(($J$4:$J$203=$J203)*(ROW($J$4:$J$203)&lt;ROW($J203)))))+1,"")</f>
        <v/>
      </c>
      <c r="AA203" s="12">
        <f>IF($B203="","","")</f>
        <v/>
      </c>
      <c r="AB203" s="11">
        <f>IF($B203="","",0)</f>
        <v/>
      </c>
      <c r="AC203" s="11" t="n"/>
      <c r="AD203">
        <f>IF($E203="","",IF($E203="VIP Transferred",IF($AA203="","",IF(N($AB203)&gt;=3,"N/A - Closed",$AA203+CHOOSE(N($AB203)+1,1,2,3))),IF($I203="","",IF(VLOOKUP($E203,Lists!$C$2:$E$20,3,FALSE)="CLOSED","N/A - Closed",$I203+VLOOKUP($E203,Lists!$C$2:$E$20,3,FALSE)))))</f>
        <v/>
      </c>
      <c r="AE203">
        <f>IF(AND($AC203="Yes",$W203&lt;&gt;"",N($X203)&lt;3),$W203+CHOOSE(N($X203)+1,1,7,14),"")</f>
        <v/>
      </c>
      <c r="AF203" s="12">
        <f>IF($B203="","","")</f>
        <v/>
      </c>
    </row>
    <row r="205">
      <c r="A205" s="6" t="inlineStr">
        <is>
          <t>Sent to VIP Team - players you've personally handed off (Transferred to VIP Team = Yes).</t>
        </is>
      </c>
    </row>
    <row r="206" ht="28" customHeight="1">
      <c r="A206" s="7" t="inlineStr">
        <is>
          <t>Player Handle</t>
        </is>
      </c>
      <c r="B206" s="7" t="inlineStr">
        <is>
          <t>Status</t>
        </is>
      </c>
      <c r="C206" s="7" t="inlineStr">
        <is>
          <t>Health</t>
        </is>
      </c>
      <c r="D206" s="7" t="inlineStr">
        <is>
          <t>Last Contact Date</t>
        </is>
      </c>
      <c r="E206" s="7" t="inlineStr">
        <is>
          <t>Next VIP Check-in</t>
        </is>
      </c>
    </row>
    <row r="207">
      <c r="A207">
        <f>IFERROR(FILTER({$B$4:$B$203,$E$4:$E$203,$F$4:$F$203,$I$4:$I$203,$AE$4:$AE$203},$AC$4:$AC$203="Yes"), "")</f>
        <v/>
      </c>
      <c r="D207" s="16" t="n"/>
      <c r="E207" s="16" t="n"/>
    </row>
    <row r="208">
      <c r="D208" s="16" t="n"/>
      <c r="E208" s="16" t="n"/>
    </row>
    <row r="209">
      <c r="D209" s="16" t="n"/>
      <c r="E209" s="16" t="n"/>
    </row>
    <row r="210">
      <c r="D210" s="16" t="n"/>
      <c r="E210" s="16" t="n"/>
    </row>
    <row r="211">
      <c r="D211" s="16" t="n"/>
      <c r="E211" s="16" t="n"/>
    </row>
    <row r="212">
      <c r="D212" s="16" t="n"/>
      <c r="E212" s="16" t="n"/>
    </row>
    <row r="213">
      <c r="D213" s="16" t="n"/>
      <c r="E213" s="16" t="n"/>
    </row>
    <row r="214">
      <c r="D214" s="16" t="n"/>
      <c r="E214" s="16" t="n"/>
    </row>
    <row r="215">
      <c r="D215" s="16" t="n"/>
      <c r="E215" s="16" t="n"/>
    </row>
    <row r="216">
      <c r="D216" s="16" t="n"/>
      <c r="E216" s="16" t="n"/>
    </row>
    <row r="217">
      <c r="D217" s="16" t="n"/>
      <c r="E217" s="16" t="n"/>
    </row>
    <row r="218">
      <c r="D218" s="16" t="n"/>
      <c r="E218" s="16" t="n"/>
    </row>
    <row r="219">
      <c r="D219" s="16" t="n"/>
      <c r="E219" s="16" t="n"/>
    </row>
    <row r="220">
      <c r="D220" s="16" t="n"/>
      <c r="E220" s="16" t="n"/>
    </row>
    <row r="221">
      <c r="D221" s="16" t="n"/>
      <c r="E221" s="16" t="n"/>
    </row>
    <row r="222">
      <c r="D222" s="16" t="n"/>
      <c r="E222" s="16" t="n"/>
    </row>
    <row r="223">
      <c r="D223" s="16" t="n"/>
      <c r="E223" s="16" t="n"/>
    </row>
    <row r="224">
      <c r="D224" s="16" t="n"/>
      <c r="E224" s="16" t="n"/>
    </row>
    <row r="225">
      <c r="D225" s="16" t="n"/>
      <c r="E225" s="16" t="n"/>
    </row>
    <row r="226">
      <c r="D226" s="16" t="n"/>
      <c r="E226" s="16" t="n"/>
    </row>
    <row r="227">
      <c r="D227" s="16" t="n"/>
      <c r="E227" s="16" t="n"/>
    </row>
    <row r="228">
      <c r="D228" s="16" t="n"/>
      <c r="E228" s="16" t="n"/>
    </row>
    <row r="229">
      <c r="D229" s="16" t="n"/>
      <c r="E229" s="16" t="n"/>
    </row>
    <row r="230">
      <c r="D230" s="16" t="n"/>
      <c r="E230" s="16" t="n"/>
    </row>
    <row r="231">
      <c r="D231" s="16" t="n"/>
      <c r="E231" s="16" t="n"/>
    </row>
    <row r="232">
      <c r="D232" s="16" t="n"/>
      <c r="E232" s="16" t="n"/>
    </row>
    <row r="233">
      <c r="D233" s="16" t="n"/>
      <c r="E233" s="16" t="n"/>
    </row>
    <row r="234">
      <c r="D234" s="16" t="n"/>
      <c r="E234" s="16" t="n"/>
    </row>
    <row r="235">
      <c r="D235" s="16" t="n"/>
      <c r="E235" s="16" t="n"/>
    </row>
    <row r="236">
      <c r="D236" s="16" t="n"/>
      <c r="E236" s="16" t="n"/>
    </row>
    <row r="237">
      <c r="D237" s="16" t="n"/>
      <c r="E237" s="16" t="n"/>
    </row>
    <row r="238">
      <c r="D238" s="16" t="n"/>
      <c r="E238" s="16" t="n"/>
    </row>
    <row r="239">
      <c r="D239" s="16" t="n"/>
      <c r="E239" s="16" t="n"/>
    </row>
    <row r="240">
      <c r="D240" s="16" t="n"/>
      <c r="E240" s="16" t="n"/>
    </row>
    <row r="241">
      <c r="D241" s="16" t="n"/>
      <c r="E241" s="16" t="n"/>
    </row>
    <row r="242">
      <c r="D242" s="16" t="n"/>
      <c r="E242" s="16" t="n"/>
    </row>
    <row r="243">
      <c r="D243" s="16" t="n"/>
      <c r="E243" s="16" t="n"/>
    </row>
    <row r="244">
      <c r="D244" s="16" t="n"/>
      <c r="E244" s="16" t="n"/>
    </row>
    <row r="245">
      <c r="D245" s="16" t="n"/>
      <c r="E245" s="16" t="n"/>
    </row>
    <row r="246">
      <c r="D246" s="16" t="n"/>
      <c r="E246" s="16" t="n"/>
    </row>
    <row r="247">
      <c r="D247" s="16" t="n"/>
      <c r="E247" s="16" t="n"/>
    </row>
    <row r="248">
      <c r="D248" s="16" t="n"/>
      <c r="E248" s="16" t="n"/>
    </row>
    <row r="249">
      <c r="D249" s="16" t="n"/>
      <c r="E249" s="16" t="n"/>
    </row>
    <row r="250">
      <c r="D250" s="16" t="n"/>
      <c r="E250" s="16" t="n"/>
    </row>
    <row r="251">
      <c r="D251" s="16" t="n"/>
      <c r="E251" s="16" t="n"/>
    </row>
    <row r="252">
      <c r="D252" s="16" t="n"/>
      <c r="E252" s="16" t="n"/>
    </row>
    <row r="253">
      <c r="D253" s="16" t="n"/>
      <c r="E253" s="16" t="n"/>
    </row>
    <row r="254">
      <c r="D254" s="16" t="n"/>
      <c r="E254" s="16" t="n"/>
    </row>
    <row r="255">
      <c r="D255" s="16" t="n"/>
      <c r="E255" s="16" t="n"/>
    </row>
    <row r="256">
      <c r="D256" s="16" t="n"/>
      <c r="E256" s="16" t="n"/>
    </row>
    <row r="257">
      <c r="D257" s="16" t="n"/>
      <c r="E257" s="16" t="n"/>
    </row>
    <row r="258">
      <c r="D258" s="16" t="n"/>
      <c r="E258" s="16" t="n"/>
    </row>
    <row r="259">
      <c r="D259" s="16" t="n"/>
      <c r="E259" s="16" t="n"/>
    </row>
    <row r="260">
      <c r="D260" s="16" t="n"/>
      <c r="E260" s="16" t="n"/>
    </row>
    <row r="261">
      <c r="D261" s="16" t="n"/>
      <c r="E261" s="16" t="n"/>
    </row>
    <row r="262">
      <c r="D262" s="16" t="n"/>
      <c r="E262" s="16" t="n"/>
    </row>
    <row r="263">
      <c r="D263" s="16" t="n"/>
      <c r="E263" s="16" t="n"/>
    </row>
    <row r="264">
      <c r="D264" s="16" t="n"/>
      <c r="E264" s="16" t="n"/>
    </row>
    <row r="265">
      <c r="D265" s="16" t="n"/>
      <c r="E265" s="16" t="n"/>
    </row>
    <row r="266">
      <c r="D266" s="16" t="n"/>
      <c r="E266" s="16" t="n"/>
    </row>
    <row r="267">
      <c r="D267" s="16" t="n"/>
      <c r="E267" s="16" t="n"/>
    </row>
    <row r="268">
      <c r="D268" s="16" t="n"/>
      <c r="E268" s="16" t="n"/>
    </row>
    <row r="269">
      <c r="D269" s="16" t="n"/>
      <c r="E269" s="16" t="n"/>
    </row>
    <row r="270">
      <c r="D270" s="16" t="n"/>
      <c r="E270" s="16" t="n"/>
    </row>
    <row r="271">
      <c r="D271" s="16" t="n"/>
      <c r="E271" s="16" t="n"/>
    </row>
    <row r="272">
      <c r="D272" s="16" t="n"/>
      <c r="E272" s="16" t="n"/>
    </row>
    <row r="273">
      <c r="D273" s="16" t="n"/>
      <c r="E273" s="16" t="n"/>
    </row>
    <row r="274">
      <c r="D274" s="16" t="n"/>
      <c r="E274" s="16" t="n"/>
    </row>
    <row r="275">
      <c r="D275" s="16" t="n"/>
      <c r="E275" s="16" t="n"/>
    </row>
    <row r="276">
      <c r="D276" s="16" t="n"/>
      <c r="E276" s="16" t="n"/>
    </row>
    <row r="277">
      <c r="D277" s="16" t="n"/>
      <c r="E277" s="16" t="n"/>
    </row>
    <row r="278">
      <c r="D278" s="16" t="n"/>
      <c r="E278" s="16" t="n"/>
    </row>
    <row r="279">
      <c r="D279" s="16" t="n"/>
      <c r="E279" s="16" t="n"/>
    </row>
    <row r="280">
      <c r="D280" s="16" t="n"/>
      <c r="E280" s="16" t="n"/>
    </row>
    <row r="281">
      <c r="D281" s="16" t="n"/>
      <c r="E281" s="16" t="n"/>
    </row>
    <row r="282">
      <c r="D282" s="16" t="n"/>
      <c r="E282" s="16" t="n"/>
    </row>
    <row r="283">
      <c r="D283" s="16" t="n"/>
      <c r="E283" s="16" t="n"/>
    </row>
    <row r="284">
      <c r="D284" s="16" t="n"/>
      <c r="E284" s="16" t="n"/>
    </row>
    <row r="285">
      <c r="D285" s="16" t="n"/>
      <c r="E285" s="16" t="n"/>
    </row>
    <row r="286">
      <c r="D286" s="16" t="n"/>
      <c r="E286" s="16" t="n"/>
    </row>
    <row r="287">
      <c r="D287" s="16" t="n"/>
      <c r="E287" s="16" t="n"/>
    </row>
    <row r="288">
      <c r="D288" s="16" t="n"/>
      <c r="E288" s="16" t="n"/>
    </row>
    <row r="289">
      <c r="D289" s="16" t="n"/>
      <c r="E289" s="16" t="n"/>
    </row>
    <row r="290">
      <c r="D290" s="16" t="n"/>
      <c r="E290" s="16" t="n"/>
    </row>
    <row r="291">
      <c r="D291" s="16" t="n"/>
      <c r="E291" s="16" t="n"/>
    </row>
    <row r="292">
      <c r="D292" s="16" t="n"/>
      <c r="E292" s="16" t="n"/>
    </row>
    <row r="293">
      <c r="D293" s="16" t="n"/>
      <c r="E293" s="16" t="n"/>
    </row>
    <row r="294">
      <c r="D294" s="16" t="n"/>
      <c r="E294" s="16" t="n"/>
    </row>
    <row r="295">
      <c r="D295" s="16" t="n"/>
      <c r="E295" s="16" t="n"/>
    </row>
    <row r="296">
      <c r="D296" s="16" t="n"/>
      <c r="E296" s="16" t="n"/>
    </row>
    <row r="297">
      <c r="D297" s="16" t="n"/>
      <c r="E297" s="16" t="n"/>
    </row>
    <row r="298">
      <c r="D298" s="16" t="n"/>
      <c r="E298" s="16" t="n"/>
    </row>
    <row r="299">
      <c r="D299" s="16" t="n"/>
      <c r="E299" s="16" t="n"/>
    </row>
    <row r="300">
      <c r="D300" s="16" t="n"/>
      <c r="E300" s="16" t="n"/>
    </row>
    <row r="301">
      <c r="D301" s="16" t="n"/>
      <c r="E301" s="16" t="n"/>
    </row>
    <row r="302">
      <c r="D302" s="16" t="n"/>
      <c r="E302" s="16" t="n"/>
    </row>
    <row r="303">
      <c r="D303" s="16" t="n"/>
      <c r="E303" s="16" t="n"/>
    </row>
    <row r="304">
      <c r="D304" s="16" t="n"/>
      <c r="E304" s="16" t="n"/>
    </row>
    <row r="305">
      <c r="D305" s="16" t="n"/>
      <c r="E305" s="16" t="n"/>
    </row>
    <row r="306">
      <c r="D306" s="16" t="n"/>
      <c r="E306" s="16" t="n"/>
    </row>
    <row r="307">
      <c r="D307" s="16" t="n"/>
      <c r="E307" s="16" t="n"/>
    </row>
    <row r="308">
      <c r="D308" s="16" t="n"/>
      <c r="E308" s="16" t="n"/>
    </row>
    <row r="309">
      <c r="D309" s="16" t="n"/>
      <c r="E309" s="16" t="n"/>
    </row>
    <row r="310">
      <c r="D310" s="16" t="n"/>
      <c r="E310" s="16" t="n"/>
    </row>
    <row r="311">
      <c r="D311" s="16" t="n"/>
      <c r="E311" s="16" t="n"/>
    </row>
    <row r="312">
      <c r="D312" s="16" t="n"/>
      <c r="E312" s="16" t="n"/>
    </row>
    <row r="313">
      <c r="D313" s="16" t="n"/>
      <c r="E313" s="16" t="n"/>
    </row>
    <row r="314">
      <c r="D314" s="16" t="n"/>
      <c r="E314" s="16" t="n"/>
    </row>
    <row r="315">
      <c r="D315" s="16" t="n"/>
      <c r="E315" s="16" t="n"/>
    </row>
    <row r="316">
      <c r="D316" s="16" t="n"/>
      <c r="E316" s="16" t="n"/>
    </row>
    <row r="317">
      <c r="D317" s="16" t="n"/>
      <c r="E317" s="16" t="n"/>
    </row>
    <row r="318">
      <c r="D318" s="16" t="n"/>
      <c r="E318" s="16" t="n"/>
    </row>
    <row r="319">
      <c r="D319" s="16" t="n"/>
      <c r="E319" s="16" t="n"/>
    </row>
    <row r="320">
      <c r="D320" s="16" t="n"/>
      <c r="E320" s="16" t="n"/>
    </row>
    <row r="321">
      <c r="D321" s="16" t="n"/>
      <c r="E321" s="16" t="n"/>
    </row>
    <row r="322">
      <c r="D322" s="16" t="n"/>
      <c r="E322" s="16" t="n"/>
    </row>
    <row r="323">
      <c r="D323" s="16" t="n"/>
      <c r="E323" s="16" t="n"/>
    </row>
    <row r="324">
      <c r="D324" s="16" t="n"/>
      <c r="E324" s="16" t="n"/>
    </row>
    <row r="325">
      <c r="D325" s="16" t="n"/>
      <c r="E325" s="16" t="n"/>
    </row>
    <row r="326">
      <c r="D326" s="16" t="n"/>
      <c r="E326" s="16" t="n"/>
    </row>
    <row r="327">
      <c r="D327" s="16" t="n"/>
      <c r="E327" s="16" t="n"/>
    </row>
    <row r="328">
      <c r="D328" s="16" t="n"/>
      <c r="E328" s="16" t="n"/>
    </row>
    <row r="329">
      <c r="D329" s="16" t="n"/>
      <c r="E329" s="16" t="n"/>
    </row>
    <row r="330">
      <c r="D330" s="16" t="n"/>
      <c r="E330" s="16" t="n"/>
    </row>
    <row r="331">
      <c r="D331" s="16" t="n"/>
      <c r="E331" s="16" t="n"/>
    </row>
    <row r="332">
      <c r="D332" s="16" t="n"/>
      <c r="E332" s="16" t="n"/>
    </row>
    <row r="333">
      <c r="D333" s="16" t="n"/>
      <c r="E333" s="16" t="n"/>
    </row>
    <row r="334">
      <c r="D334" s="16" t="n"/>
      <c r="E334" s="16" t="n"/>
    </row>
    <row r="335">
      <c r="D335" s="16" t="n"/>
      <c r="E335" s="16" t="n"/>
    </row>
    <row r="336">
      <c r="D336" s="16" t="n"/>
      <c r="E336" s="16" t="n"/>
    </row>
    <row r="337">
      <c r="D337" s="16" t="n"/>
      <c r="E337" s="16" t="n"/>
    </row>
    <row r="338">
      <c r="D338" s="16" t="n"/>
      <c r="E338" s="16" t="n"/>
    </row>
    <row r="339">
      <c r="D339" s="16" t="n"/>
      <c r="E339" s="16" t="n"/>
    </row>
    <row r="340">
      <c r="D340" s="16" t="n"/>
      <c r="E340" s="16" t="n"/>
    </row>
    <row r="341">
      <c r="D341" s="16" t="n"/>
      <c r="E341" s="16" t="n"/>
    </row>
    <row r="342">
      <c r="D342" s="16" t="n"/>
      <c r="E342" s="16" t="n"/>
    </row>
    <row r="343">
      <c r="D343" s="16" t="n"/>
      <c r="E343" s="16" t="n"/>
    </row>
    <row r="344">
      <c r="D344" s="16" t="n"/>
      <c r="E344" s="16" t="n"/>
    </row>
    <row r="345">
      <c r="D345" s="16" t="n"/>
      <c r="E345" s="16" t="n"/>
    </row>
    <row r="346">
      <c r="D346" s="16" t="n"/>
      <c r="E346" s="16" t="n"/>
    </row>
    <row r="347">
      <c r="D347" s="16" t="n"/>
      <c r="E347" s="16" t="n"/>
    </row>
    <row r="348">
      <c r="D348" s="16" t="n"/>
      <c r="E348" s="16" t="n"/>
    </row>
    <row r="349">
      <c r="D349" s="16" t="n"/>
      <c r="E349" s="16" t="n"/>
    </row>
    <row r="350">
      <c r="D350" s="16" t="n"/>
      <c r="E350" s="16" t="n"/>
    </row>
    <row r="351">
      <c r="D351" s="16" t="n"/>
      <c r="E351" s="16" t="n"/>
    </row>
    <row r="352">
      <c r="D352" s="16" t="n"/>
      <c r="E352" s="16" t="n"/>
    </row>
    <row r="353">
      <c r="D353" s="16" t="n"/>
      <c r="E353" s="16" t="n"/>
    </row>
    <row r="354">
      <c r="D354" s="16" t="n"/>
      <c r="E354" s="16" t="n"/>
    </row>
    <row r="355">
      <c r="D355" s="16" t="n"/>
      <c r="E355" s="16" t="n"/>
    </row>
    <row r="356">
      <c r="D356" s="16" t="n"/>
      <c r="E356" s="16" t="n"/>
    </row>
    <row r="357">
      <c r="D357" s="16" t="n"/>
      <c r="E357" s="16" t="n"/>
    </row>
    <row r="358">
      <c r="D358" s="16" t="n"/>
      <c r="E358" s="16" t="n"/>
    </row>
    <row r="359">
      <c r="D359" s="16" t="n"/>
      <c r="E359" s="16" t="n"/>
    </row>
    <row r="360">
      <c r="D360" s="16" t="n"/>
      <c r="E360" s="16" t="n"/>
    </row>
    <row r="361">
      <c r="D361" s="16" t="n"/>
      <c r="E361" s="16" t="n"/>
    </row>
    <row r="362">
      <c r="D362" s="16" t="n"/>
      <c r="E362" s="16" t="n"/>
    </row>
    <row r="363">
      <c r="D363" s="16" t="n"/>
      <c r="E363" s="16" t="n"/>
    </row>
    <row r="364">
      <c r="D364" s="16" t="n"/>
      <c r="E364" s="16" t="n"/>
    </row>
    <row r="365">
      <c r="D365" s="16" t="n"/>
      <c r="E365" s="16" t="n"/>
    </row>
    <row r="366">
      <c r="D366" s="16" t="n"/>
      <c r="E366" s="16" t="n"/>
    </row>
    <row r="367">
      <c r="D367" s="16" t="n"/>
      <c r="E367" s="16" t="n"/>
    </row>
    <row r="368">
      <c r="D368" s="16" t="n"/>
      <c r="E368" s="16" t="n"/>
    </row>
    <row r="369">
      <c r="D369" s="16" t="n"/>
      <c r="E369" s="16" t="n"/>
    </row>
    <row r="370">
      <c r="D370" s="16" t="n"/>
      <c r="E370" s="16" t="n"/>
    </row>
    <row r="371">
      <c r="D371" s="16" t="n"/>
      <c r="E371" s="16" t="n"/>
    </row>
    <row r="372">
      <c r="D372" s="16" t="n"/>
      <c r="E372" s="16" t="n"/>
    </row>
    <row r="373">
      <c r="D373" s="16" t="n"/>
      <c r="E373" s="16" t="n"/>
    </row>
    <row r="374">
      <c r="D374" s="16" t="n"/>
      <c r="E374" s="16" t="n"/>
    </row>
    <row r="375">
      <c r="D375" s="16" t="n"/>
      <c r="E375" s="16" t="n"/>
    </row>
    <row r="376">
      <c r="D376" s="16" t="n"/>
      <c r="E376" s="16" t="n"/>
    </row>
    <row r="377">
      <c r="D377" s="16" t="n"/>
      <c r="E377" s="16" t="n"/>
    </row>
    <row r="378">
      <c r="D378" s="16" t="n"/>
      <c r="E378" s="16" t="n"/>
    </row>
    <row r="379">
      <c r="D379" s="16" t="n"/>
      <c r="E379" s="16" t="n"/>
    </row>
    <row r="380">
      <c r="D380" s="16" t="n"/>
      <c r="E380" s="16" t="n"/>
    </row>
    <row r="381">
      <c r="D381" s="16" t="n"/>
      <c r="E381" s="16" t="n"/>
    </row>
    <row r="382">
      <c r="D382" s="16" t="n"/>
      <c r="E382" s="16" t="n"/>
    </row>
    <row r="383">
      <c r="D383" s="16" t="n"/>
      <c r="E383" s="16" t="n"/>
    </row>
    <row r="384">
      <c r="D384" s="16" t="n"/>
      <c r="E384" s="16" t="n"/>
    </row>
    <row r="385">
      <c r="D385" s="16" t="n"/>
      <c r="E385" s="16" t="n"/>
    </row>
    <row r="386">
      <c r="D386" s="16" t="n"/>
      <c r="E386" s="16" t="n"/>
    </row>
    <row r="387">
      <c r="D387" s="16" t="n"/>
      <c r="E387" s="16" t="n"/>
    </row>
    <row r="388">
      <c r="D388" s="16" t="n"/>
      <c r="E388" s="16" t="n"/>
    </row>
    <row r="389">
      <c r="D389" s="16" t="n"/>
      <c r="E389" s="16" t="n"/>
    </row>
    <row r="390">
      <c r="D390" s="16" t="n"/>
      <c r="E390" s="16" t="n"/>
    </row>
    <row r="391">
      <c r="D391" s="16" t="n"/>
      <c r="E391" s="16" t="n"/>
    </row>
    <row r="392">
      <c r="D392" s="16" t="n"/>
      <c r="E392" s="16" t="n"/>
    </row>
    <row r="393">
      <c r="D393" s="16" t="n"/>
      <c r="E393" s="16" t="n"/>
    </row>
    <row r="394">
      <c r="D394" s="16" t="n"/>
      <c r="E394" s="16" t="n"/>
    </row>
    <row r="395">
      <c r="D395" s="16" t="n"/>
      <c r="E395" s="16" t="n"/>
    </row>
    <row r="396">
      <c r="D396" s="16" t="n"/>
      <c r="E396" s="16" t="n"/>
    </row>
    <row r="397">
      <c r="D397" s="16" t="n"/>
      <c r="E397" s="16" t="n"/>
    </row>
    <row r="398">
      <c r="D398" s="16" t="n"/>
      <c r="E398" s="16" t="n"/>
    </row>
    <row r="399">
      <c r="D399" s="16" t="n"/>
      <c r="E399" s="16" t="n"/>
    </row>
    <row r="400">
      <c r="D400" s="16" t="n"/>
      <c r="E400" s="16" t="n"/>
    </row>
    <row r="401">
      <c r="D401" s="16" t="n"/>
      <c r="E401" s="16" t="n"/>
    </row>
    <row r="402">
      <c r="D402" s="16" t="n"/>
      <c r="E402" s="16" t="n"/>
    </row>
    <row r="403">
      <c r="D403" s="16" t="n"/>
      <c r="E403" s="16" t="n"/>
    </row>
    <row r="404">
      <c r="D404" s="16" t="n"/>
      <c r="E404" s="16" t="n"/>
    </row>
    <row r="405">
      <c r="D405" s="16" t="n"/>
      <c r="E405" s="16" t="n"/>
    </row>
    <row r="406">
      <c r="D406" s="16" t="n"/>
      <c r="E406" s="16" t="n"/>
    </row>
  </sheetData>
  <autoFilter ref="A3:AF203"/>
  <conditionalFormatting sqref="F4:F203">
    <cfRule type="expression" priority="1" dxfId="0">
      <formula>$F4="Red"</formula>
    </cfRule>
    <cfRule type="expression" priority="2" dxfId="1">
      <formula>$F4="Yellow"</formula>
    </cfRule>
    <cfRule type="expression" priority="3" dxfId="3">
      <formula>$F4="Green"</formula>
    </cfRule>
    <cfRule type="expression" priority="4" dxfId="2">
      <formula>$F4="Black"</formula>
    </cfRule>
  </conditionalFormatting>
  <conditionalFormatting sqref="B4:B203">
    <cfRule type="expression" priority="5" dxfId="0">
      <formula>AND($B4&lt;&gt;"",COUNTIF($B$4:$B$203,$B4)&gt;1)</formula>
    </cfRule>
  </conditionalFormatting>
  <conditionalFormatting sqref="D4:D203">
    <cfRule type="expression" priority="6" dxfId="0">
      <formula>AND($D4&lt;&gt;"",COUNTIF($D$4:$D$203,$D4)&gt;1)</formula>
    </cfRule>
  </conditionalFormatting>
  <dataValidations count="5">
    <dataValidation sqref="C4:C203" showDropDown="0" showInputMessage="0" showErrorMessage="0" allowBlank="1" type="list">
      <formula1>Lists!$B$2:$B$17</formula1>
    </dataValidation>
    <dataValidation sqref="E4:E203" showDropDown="0" showInputMessage="0" showErrorMessage="0" allowBlank="1" type="list">
      <formula1>Lists!$C$2:$C$20</formula1>
    </dataValidation>
    <dataValidation sqref="L4:L203" showDropDown="0" showInputMessage="0" showErrorMessage="0" allowBlank="1" type="list">
      <formula1>Lists!$D$2:$D$15</formula1>
    </dataValidation>
    <dataValidation sqref="M4:M203" showDropDown="0" showInputMessage="0" showErrorMessage="0" allowBlank="1" type="list">
      <formula1>Lists!$E$2:$E$14</formula1>
    </dataValidation>
    <dataValidation sqref="AC4:AC20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Yuri's FTD List — First Time Depositors</t>
        </is>
      </c>
    </row>
    <row r="2" ht="28" customHeight="1">
      <c r="A2" s="17" t="inlineStr">
        <is>
          <t>Added automatically the moment a player's Status is set to First Deposit on the Book. Roobet Username, FTD Date, and Weighted Wager are all pulled in automatically and read-only - nothing to fill in by hand. Players also stay on the Book as usual, this is just a clean, dedicated view. Total Weighted Wager (all players, live) is at the bottom.</t>
        </is>
      </c>
    </row>
    <row r="4" ht="32" customHeight="1">
      <c r="A4" s="7" t="inlineStr">
        <is>
          <t>Player Handle</t>
        </is>
      </c>
      <c r="B4" s="7" t="inlineStr">
        <is>
          <t>Roobet Username</t>
        </is>
      </c>
      <c r="C4" s="7" t="inlineStr">
        <is>
          <t>FTD Date</t>
        </is>
      </c>
      <c r="D4" s="7" t="inlineStr">
        <is>
          <t>Weighted Wager</t>
        </is>
      </c>
    </row>
    <row r="5">
      <c r="A5" s="18" t="n"/>
      <c r="B5" s="18" t="n"/>
      <c r="C5" s="19" t="n"/>
      <c r="D5" s="20" t="n"/>
    </row>
    <row r="6">
      <c r="A6" s="18" t="n"/>
      <c r="B6" s="18" t="n"/>
      <c r="C6" s="19" t="n"/>
      <c r="D6" s="20" t="n"/>
    </row>
    <row r="7">
      <c r="A7" s="18" t="n"/>
      <c r="B7" s="18" t="n"/>
      <c r="C7" s="19" t="n"/>
      <c r="D7" s="20" t="n"/>
    </row>
    <row r="8">
      <c r="A8" s="18" t="n"/>
      <c r="B8" s="18" t="n"/>
      <c r="C8" s="19" t="n"/>
      <c r="D8" s="20" t="n"/>
    </row>
    <row r="9">
      <c r="A9" s="18" t="n"/>
      <c r="B9" s="18" t="n"/>
      <c r="C9" s="19" t="n"/>
      <c r="D9" s="20" t="n"/>
    </row>
    <row r="10">
      <c r="A10" s="18" t="n"/>
      <c r="B10" s="18" t="n"/>
      <c r="C10" s="19" t="n"/>
      <c r="D10" s="20" t="n"/>
    </row>
    <row r="11">
      <c r="A11" s="18" t="n"/>
      <c r="B11" s="18" t="n"/>
      <c r="C11" s="19" t="n"/>
      <c r="D11" s="20" t="n"/>
    </row>
    <row r="12">
      <c r="A12" s="18" t="n"/>
      <c r="B12" s="18" t="n"/>
      <c r="C12" s="19" t="n"/>
      <c r="D12" s="20" t="n"/>
    </row>
    <row r="13">
      <c r="A13" s="18" t="n"/>
      <c r="B13" s="18" t="n"/>
      <c r="C13" s="19" t="n"/>
      <c r="D13" s="20" t="n"/>
    </row>
    <row r="14">
      <c r="A14" s="18" t="n"/>
      <c r="B14" s="18" t="n"/>
      <c r="C14" s="19" t="n"/>
      <c r="D14" s="20" t="n"/>
    </row>
    <row r="15">
      <c r="A15" s="18" t="n"/>
      <c r="B15" s="18" t="n"/>
      <c r="C15" s="19" t="n"/>
      <c r="D15" s="20" t="n"/>
    </row>
    <row r="16">
      <c r="A16" s="18" t="n"/>
      <c r="B16" s="18" t="n"/>
      <c r="C16" s="19" t="n"/>
      <c r="D16" s="20" t="n"/>
    </row>
    <row r="17">
      <c r="A17" s="18" t="n"/>
      <c r="B17" s="18" t="n"/>
      <c r="C17" s="19" t="n"/>
      <c r="D17" s="20" t="n"/>
    </row>
    <row r="18">
      <c r="A18" s="18" t="n"/>
      <c r="B18" s="18" t="n"/>
      <c r="C18" s="19" t="n"/>
      <c r="D18" s="20" t="n"/>
    </row>
    <row r="19">
      <c r="A19" s="18" t="n"/>
      <c r="B19" s="18" t="n"/>
      <c r="C19" s="19" t="n"/>
      <c r="D19" s="20" t="n"/>
    </row>
    <row r="20">
      <c r="A20" s="18" t="n"/>
      <c r="B20" s="18" t="n"/>
      <c r="C20" s="19" t="n"/>
      <c r="D20" s="20" t="n"/>
    </row>
    <row r="21">
      <c r="A21" s="18" t="n"/>
      <c r="B21" s="18" t="n"/>
      <c r="C21" s="19" t="n"/>
      <c r="D21" s="20" t="n"/>
    </row>
    <row r="22">
      <c r="A22" s="18" t="n"/>
      <c r="B22" s="18" t="n"/>
      <c r="C22" s="19" t="n"/>
      <c r="D22" s="20" t="n"/>
    </row>
    <row r="23">
      <c r="A23" s="18" t="n"/>
      <c r="B23" s="18" t="n"/>
      <c r="C23" s="19" t="n"/>
      <c r="D23" s="20" t="n"/>
    </row>
    <row r="24">
      <c r="A24" s="18" t="n"/>
      <c r="B24" s="18" t="n"/>
      <c r="C24" s="19" t="n"/>
      <c r="D24" s="20" t="n"/>
    </row>
    <row r="25">
      <c r="A25" s="18" t="n"/>
      <c r="B25" s="18" t="n"/>
      <c r="C25" s="19" t="n"/>
      <c r="D25" s="20" t="n"/>
    </row>
    <row r="26">
      <c r="A26" s="18" t="n"/>
      <c r="B26" s="18" t="n"/>
      <c r="C26" s="19" t="n"/>
      <c r="D26" s="20" t="n"/>
    </row>
    <row r="27">
      <c r="A27" s="18" t="n"/>
      <c r="B27" s="18" t="n"/>
      <c r="C27" s="19" t="n"/>
      <c r="D27" s="20" t="n"/>
    </row>
    <row r="28">
      <c r="A28" s="18" t="n"/>
      <c r="B28" s="18" t="n"/>
      <c r="C28" s="19" t="n"/>
      <c r="D28" s="20" t="n"/>
    </row>
    <row r="29">
      <c r="A29" s="18" t="n"/>
      <c r="B29" s="18" t="n"/>
      <c r="C29" s="19" t="n"/>
      <c r="D29" s="20" t="n"/>
    </row>
    <row r="30">
      <c r="A30" s="18" t="n"/>
      <c r="B30" s="18" t="n"/>
      <c r="C30" s="19" t="n"/>
      <c r="D30" s="20" t="n"/>
    </row>
    <row r="31">
      <c r="A31" s="18" t="n"/>
      <c r="B31" s="18" t="n"/>
      <c r="C31" s="19" t="n"/>
      <c r="D31" s="20" t="n"/>
    </row>
    <row r="32">
      <c r="A32" s="18" t="n"/>
      <c r="B32" s="18" t="n"/>
      <c r="C32" s="19" t="n"/>
      <c r="D32" s="20" t="n"/>
    </row>
    <row r="33">
      <c r="A33" s="18" t="n"/>
      <c r="B33" s="18" t="n"/>
      <c r="C33" s="19" t="n"/>
      <c r="D33" s="20" t="n"/>
    </row>
    <row r="34">
      <c r="A34" s="18" t="n"/>
      <c r="B34" s="18" t="n"/>
      <c r="C34" s="19" t="n"/>
      <c r="D34" s="20" t="n"/>
    </row>
    <row r="35">
      <c r="A35" s="18" t="n"/>
      <c r="B35" s="18" t="n"/>
      <c r="C35" s="19" t="n"/>
      <c r="D35" s="20" t="n"/>
    </row>
    <row r="36">
      <c r="A36" s="18" t="n"/>
      <c r="B36" s="18" t="n"/>
      <c r="C36" s="19" t="n"/>
      <c r="D36" s="20" t="n"/>
    </row>
    <row r="37">
      <c r="A37" s="18" t="n"/>
      <c r="B37" s="18" t="n"/>
      <c r="C37" s="19" t="n"/>
      <c r="D37" s="20" t="n"/>
    </row>
    <row r="38">
      <c r="A38" s="18" t="n"/>
      <c r="B38" s="18" t="n"/>
      <c r="C38" s="19" t="n"/>
      <c r="D38" s="20" t="n"/>
    </row>
    <row r="39">
      <c r="A39" s="18" t="n"/>
      <c r="B39" s="18" t="n"/>
      <c r="C39" s="19" t="n"/>
      <c r="D39" s="20" t="n"/>
    </row>
    <row r="40">
      <c r="A40" s="18" t="n"/>
      <c r="B40" s="18" t="n"/>
      <c r="C40" s="19" t="n"/>
      <c r="D40" s="20" t="n"/>
    </row>
    <row r="41">
      <c r="A41" s="18" t="n"/>
      <c r="B41" s="18" t="n"/>
      <c r="C41" s="19" t="n"/>
      <c r="D41" s="20" t="n"/>
    </row>
    <row r="42">
      <c r="A42" s="18" t="n"/>
      <c r="B42" s="18" t="n"/>
      <c r="C42" s="19" t="n"/>
      <c r="D42" s="20" t="n"/>
    </row>
    <row r="43">
      <c r="A43" s="18" t="n"/>
      <c r="B43" s="18" t="n"/>
      <c r="C43" s="19" t="n"/>
      <c r="D43" s="20" t="n"/>
    </row>
    <row r="44">
      <c r="A44" s="18" t="n"/>
      <c r="B44" s="18" t="n"/>
      <c r="C44" s="19" t="n"/>
      <c r="D44" s="20" t="n"/>
    </row>
    <row r="45">
      <c r="A45" s="18" t="n"/>
      <c r="B45" s="18" t="n"/>
      <c r="C45" s="19" t="n"/>
      <c r="D45" s="20" t="n"/>
    </row>
    <row r="46">
      <c r="A46" s="18" t="n"/>
      <c r="B46" s="18" t="n"/>
      <c r="C46" s="19" t="n"/>
      <c r="D46" s="20" t="n"/>
    </row>
    <row r="47">
      <c r="A47" s="18" t="n"/>
      <c r="B47" s="18" t="n"/>
      <c r="C47" s="19" t="n"/>
      <c r="D47" s="20" t="n"/>
    </row>
    <row r="48">
      <c r="A48" s="18" t="n"/>
      <c r="B48" s="18" t="n"/>
      <c r="C48" s="19" t="n"/>
      <c r="D48" s="20" t="n"/>
    </row>
    <row r="49">
      <c r="A49" s="18" t="n"/>
      <c r="B49" s="18" t="n"/>
      <c r="C49" s="19" t="n"/>
      <c r="D49" s="20" t="n"/>
    </row>
    <row r="50">
      <c r="A50" s="18" t="n"/>
      <c r="B50" s="18" t="n"/>
      <c r="C50" s="19" t="n"/>
      <c r="D50" s="20" t="n"/>
    </row>
    <row r="51">
      <c r="A51" s="18" t="n"/>
      <c r="B51" s="18" t="n"/>
      <c r="C51" s="19" t="n"/>
      <c r="D51" s="20" t="n"/>
    </row>
    <row r="52">
      <c r="A52" s="18" t="n"/>
      <c r="B52" s="18" t="n"/>
      <c r="C52" s="19" t="n"/>
      <c r="D52" s="20" t="n"/>
    </row>
    <row r="53">
      <c r="A53" s="18" t="n"/>
      <c r="B53" s="18" t="n"/>
      <c r="C53" s="19" t="n"/>
      <c r="D53" s="20" t="n"/>
    </row>
    <row r="54">
      <c r="A54" s="18" t="n"/>
      <c r="B54" s="18" t="n"/>
      <c r="C54" s="19" t="n"/>
      <c r="D54" s="20" t="n"/>
    </row>
    <row r="55">
      <c r="A55" s="18" t="n"/>
      <c r="B55" s="18" t="n"/>
      <c r="C55" s="19" t="n"/>
      <c r="D55" s="20" t="n"/>
    </row>
    <row r="56">
      <c r="A56" s="18" t="n"/>
      <c r="B56" s="18" t="n"/>
      <c r="C56" s="19" t="n"/>
      <c r="D56" s="20" t="n"/>
    </row>
    <row r="57">
      <c r="A57" s="18" t="n"/>
      <c r="B57" s="18" t="n"/>
      <c r="C57" s="19" t="n"/>
      <c r="D57" s="20" t="n"/>
    </row>
    <row r="58">
      <c r="A58" s="18" t="n"/>
      <c r="B58" s="18" t="n"/>
      <c r="C58" s="19" t="n"/>
      <c r="D58" s="20" t="n"/>
    </row>
    <row r="59">
      <c r="A59" s="18" t="n"/>
      <c r="B59" s="18" t="n"/>
      <c r="C59" s="19" t="n"/>
      <c r="D59" s="20" t="n"/>
    </row>
    <row r="60">
      <c r="A60" s="18" t="n"/>
      <c r="B60" s="18" t="n"/>
      <c r="C60" s="19" t="n"/>
      <c r="D60" s="20" t="n"/>
    </row>
    <row r="61">
      <c r="A61" s="18" t="n"/>
      <c r="B61" s="18" t="n"/>
      <c r="C61" s="19" t="n"/>
      <c r="D61" s="20" t="n"/>
    </row>
    <row r="62">
      <c r="A62" s="18" t="n"/>
      <c r="B62" s="18" t="n"/>
      <c r="C62" s="19" t="n"/>
      <c r="D62" s="20" t="n"/>
    </row>
    <row r="63">
      <c r="A63" s="18" t="n"/>
      <c r="B63" s="18" t="n"/>
      <c r="C63" s="19" t="n"/>
      <c r="D63" s="20" t="n"/>
    </row>
    <row r="64">
      <c r="A64" s="18" t="n"/>
      <c r="B64" s="18" t="n"/>
      <c r="C64" s="19" t="n"/>
      <c r="D64" s="20" t="n"/>
    </row>
    <row r="65">
      <c r="A65" s="18" t="n"/>
      <c r="B65" s="18" t="n"/>
      <c r="C65" s="19" t="n"/>
      <c r="D65" s="20" t="n"/>
    </row>
    <row r="66">
      <c r="A66" s="18" t="n"/>
      <c r="B66" s="18" t="n"/>
      <c r="C66" s="19" t="n"/>
      <c r="D66" s="20" t="n"/>
    </row>
    <row r="67">
      <c r="A67" s="18" t="n"/>
      <c r="B67" s="18" t="n"/>
      <c r="C67" s="19" t="n"/>
      <c r="D67" s="20" t="n"/>
    </row>
    <row r="68">
      <c r="A68" s="18" t="n"/>
      <c r="B68" s="18" t="n"/>
      <c r="C68" s="19" t="n"/>
      <c r="D68" s="20" t="n"/>
    </row>
    <row r="69">
      <c r="A69" s="18" t="n"/>
      <c r="B69" s="18" t="n"/>
      <c r="C69" s="19" t="n"/>
      <c r="D69" s="20" t="n"/>
    </row>
    <row r="70">
      <c r="A70" s="18" t="n"/>
      <c r="B70" s="18" t="n"/>
      <c r="C70" s="19" t="n"/>
      <c r="D70" s="20" t="n"/>
    </row>
    <row r="71">
      <c r="A71" s="18" t="n"/>
      <c r="B71" s="18" t="n"/>
      <c r="C71" s="19" t="n"/>
      <c r="D71" s="20" t="n"/>
    </row>
    <row r="72">
      <c r="A72" s="18" t="n"/>
      <c r="B72" s="18" t="n"/>
      <c r="C72" s="19" t="n"/>
      <c r="D72" s="20" t="n"/>
    </row>
    <row r="73">
      <c r="A73" s="18" t="n"/>
      <c r="B73" s="18" t="n"/>
      <c r="C73" s="19" t="n"/>
      <c r="D73" s="20" t="n"/>
    </row>
    <row r="74">
      <c r="A74" s="18" t="n"/>
      <c r="B74" s="18" t="n"/>
      <c r="C74" s="19" t="n"/>
      <c r="D74" s="20" t="n"/>
    </row>
    <row r="75">
      <c r="A75" s="18" t="n"/>
      <c r="B75" s="18" t="n"/>
      <c r="C75" s="19" t="n"/>
      <c r="D75" s="20" t="n"/>
    </row>
    <row r="76">
      <c r="A76" s="18" t="n"/>
      <c r="B76" s="18" t="n"/>
      <c r="C76" s="19" t="n"/>
      <c r="D76" s="20" t="n"/>
    </row>
    <row r="77">
      <c r="A77" s="18" t="n"/>
      <c r="B77" s="18" t="n"/>
      <c r="C77" s="19" t="n"/>
      <c r="D77" s="20" t="n"/>
    </row>
    <row r="78">
      <c r="A78" s="18" t="n"/>
      <c r="B78" s="18" t="n"/>
      <c r="C78" s="19" t="n"/>
      <c r="D78" s="20" t="n"/>
    </row>
    <row r="79">
      <c r="A79" s="18" t="n"/>
      <c r="B79" s="18" t="n"/>
      <c r="C79" s="19" t="n"/>
      <c r="D79" s="20" t="n"/>
    </row>
    <row r="80">
      <c r="A80" s="18" t="n"/>
      <c r="B80" s="18" t="n"/>
      <c r="C80" s="19" t="n"/>
      <c r="D80" s="20" t="n"/>
    </row>
    <row r="81">
      <c r="A81" s="18" t="n"/>
      <c r="B81" s="18" t="n"/>
      <c r="C81" s="19" t="n"/>
      <c r="D81" s="20" t="n"/>
    </row>
    <row r="82">
      <c r="A82" s="18" t="n"/>
      <c r="B82" s="18" t="n"/>
      <c r="C82" s="19" t="n"/>
      <c r="D82" s="20" t="n"/>
    </row>
    <row r="83">
      <c r="A83" s="18" t="n"/>
      <c r="B83" s="18" t="n"/>
      <c r="C83" s="19" t="n"/>
      <c r="D83" s="20" t="n"/>
    </row>
    <row r="84">
      <c r="A84" s="18" t="n"/>
      <c r="B84" s="18" t="n"/>
      <c r="C84" s="19" t="n"/>
      <c r="D84" s="20" t="n"/>
    </row>
    <row r="85">
      <c r="A85" s="18" t="n"/>
      <c r="B85" s="18" t="n"/>
      <c r="C85" s="19" t="n"/>
      <c r="D85" s="20" t="n"/>
    </row>
    <row r="86">
      <c r="A86" s="18" t="n"/>
      <c r="B86" s="18" t="n"/>
      <c r="C86" s="19" t="n"/>
      <c r="D86" s="20" t="n"/>
    </row>
    <row r="87">
      <c r="A87" s="18" t="n"/>
      <c r="B87" s="18" t="n"/>
      <c r="C87" s="19" t="n"/>
      <c r="D87" s="20" t="n"/>
    </row>
    <row r="88">
      <c r="A88" s="18" t="n"/>
      <c r="B88" s="18" t="n"/>
      <c r="C88" s="19" t="n"/>
      <c r="D88" s="20" t="n"/>
    </row>
    <row r="89">
      <c r="A89" s="18" t="n"/>
      <c r="B89" s="18" t="n"/>
      <c r="C89" s="19" t="n"/>
      <c r="D89" s="20" t="n"/>
    </row>
    <row r="90">
      <c r="A90" s="18" t="n"/>
      <c r="B90" s="18" t="n"/>
      <c r="C90" s="19" t="n"/>
      <c r="D90" s="20" t="n"/>
    </row>
    <row r="91">
      <c r="A91" s="18" t="n"/>
      <c r="B91" s="18" t="n"/>
      <c r="C91" s="19" t="n"/>
      <c r="D91" s="20" t="n"/>
    </row>
    <row r="92">
      <c r="A92" s="18" t="n"/>
      <c r="B92" s="18" t="n"/>
      <c r="C92" s="19" t="n"/>
      <c r="D92" s="20" t="n"/>
    </row>
    <row r="93">
      <c r="A93" s="18" t="n"/>
      <c r="B93" s="18" t="n"/>
      <c r="C93" s="19" t="n"/>
      <c r="D93" s="20" t="n"/>
    </row>
    <row r="94">
      <c r="A94" s="18" t="n"/>
      <c r="B94" s="18" t="n"/>
      <c r="C94" s="19" t="n"/>
      <c r="D94" s="20" t="n"/>
    </row>
    <row r="95">
      <c r="A95" s="18" t="n"/>
      <c r="B95" s="18" t="n"/>
      <c r="C95" s="19" t="n"/>
      <c r="D95" s="20" t="n"/>
    </row>
    <row r="96">
      <c r="A96" s="18" t="n"/>
      <c r="B96" s="18" t="n"/>
      <c r="C96" s="19" t="n"/>
      <c r="D96" s="20" t="n"/>
    </row>
    <row r="97">
      <c r="A97" s="18" t="n"/>
      <c r="B97" s="18" t="n"/>
      <c r="C97" s="19" t="n"/>
      <c r="D97" s="20" t="n"/>
    </row>
    <row r="98">
      <c r="A98" s="18" t="n"/>
      <c r="B98" s="18" t="n"/>
      <c r="C98" s="19" t="n"/>
      <c r="D98" s="20" t="n"/>
    </row>
    <row r="99">
      <c r="A99" s="18" t="n"/>
      <c r="B99" s="18" t="n"/>
      <c r="C99" s="19" t="n"/>
      <c r="D99" s="20" t="n"/>
    </row>
    <row r="100">
      <c r="A100" s="18" t="n"/>
      <c r="B100" s="18" t="n"/>
      <c r="C100" s="19" t="n"/>
      <c r="D100" s="20" t="n"/>
    </row>
    <row r="101">
      <c r="A101" s="18" t="n"/>
      <c r="B101" s="18" t="n"/>
      <c r="C101" s="19" t="n"/>
      <c r="D101" s="20" t="n"/>
    </row>
    <row r="102">
      <c r="A102" s="18" t="n"/>
      <c r="B102" s="18" t="n"/>
      <c r="C102" s="19" t="n"/>
      <c r="D102" s="20" t="n"/>
    </row>
    <row r="103">
      <c r="A103" s="18" t="n"/>
      <c r="B103" s="18" t="n"/>
      <c r="C103" s="19" t="n"/>
      <c r="D103" s="20" t="n"/>
    </row>
    <row r="104">
      <c r="A104" s="18" t="n"/>
      <c r="B104" s="18" t="n"/>
      <c r="C104" s="19" t="n"/>
      <c r="D104" s="20" t="n"/>
    </row>
    <row r="105">
      <c r="A105" s="18" t="n"/>
      <c r="B105" s="18" t="n"/>
      <c r="C105" s="19" t="n"/>
      <c r="D105" s="20" t="n"/>
    </row>
    <row r="106">
      <c r="A106" s="18" t="n"/>
      <c r="B106" s="18" t="n"/>
      <c r="C106" s="19" t="n"/>
      <c r="D106" s="20" t="n"/>
    </row>
    <row r="107">
      <c r="A107" s="18" t="n"/>
      <c r="B107" s="18" t="n"/>
      <c r="C107" s="19" t="n"/>
      <c r="D107" s="20" t="n"/>
    </row>
    <row r="108">
      <c r="A108" s="18" t="n"/>
      <c r="B108" s="18" t="n"/>
      <c r="C108" s="19" t="n"/>
      <c r="D108" s="20" t="n"/>
    </row>
    <row r="109">
      <c r="A109" s="18" t="n"/>
      <c r="B109" s="18" t="n"/>
      <c r="C109" s="19" t="n"/>
      <c r="D109" s="20" t="n"/>
    </row>
    <row r="110">
      <c r="A110" s="18" t="n"/>
      <c r="B110" s="18" t="n"/>
      <c r="C110" s="19" t="n"/>
      <c r="D110" s="20" t="n"/>
    </row>
    <row r="111">
      <c r="A111" s="18" t="n"/>
      <c r="B111" s="18" t="n"/>
      <c r="C111" s="19" t="n"/>
      <c r="D111" s="20" t="n"/>
    </row>
    <row r="112">
      <c r="A112" s="18" t="n"/>
      <c r="B112" s="18" t="n"/>
      <c r="C112" s="19" t="n"/>
      <c r="D112" s="20" t="n"/>
    </row>
    <row r="113">
      <c r="A113" s="18" t="n"/>
      <c r="B113" s="18" t="n"/>
      <c r="C113" s="19" t="n"/>
      <c r="D113" s="20" t="n"/>
    </row>
    <row r="114">
      <c r="A114" s="18" t="n"/>
      <c r="B114" s="18" t="n"/>
      <c r="C114" s="19" t="n"/>
      <c r="D114" s="20" t="n"/>
    </row>
    <row r="115">
      <c r="A115" s="18" t="n"/>
      <c r="B115" s="18" t="n"/>
      <c r="C115" s="19" t="n"/>
      <c r="D115" s="20" t="n"/>
    </row>
    <row r="116">
      <c r="A116" s="18" t="n"/>
      <c r="B116" s="18" t="n"/>
      <c r="C116" s="19" t="n"/>
      <c r="D116" s="20" t="n"/>
    </row>
    <row r="117">
      <c r="A117" s="18" t="n"/>
      <c r="B117" s="18" t="n"/>
      <c r="C117" s="19" t="n"/>
      <c r="D117" s="20" t="n"/>
    </row>
    <row r="118">
      <c r="A118" s="18" t="n"/>
      <c r="B118" s="18" t="n"/>
      <c r="C118" s="19" t="n"/>
      <c r="D118" s="20" t="n"/>
    </row>
    <row r="119">
      <c r="A119" s="18" t="n"/>
      <c r="B119" s="18" t="n"/>
      <c r="C119" s="19" t="n"/>
      <c r="D119" s="20" t="n"/>
    </row>
    <row r="120">
      <c r="A120" s="18" t="n"/>
      <c r="B120" s="18" t="n"/>
      <c r="C120" s="19" t="n"/>
      <c r="D120" s="20" t="n"/>
    </row>
    <row r="121">
      <c r="A121" s="18" t="n"/>
      <c r="B121" s="18" t="n"/>
      <c r="C121" s="19" t="n"/>
      <c r="D121" s="20" t="n"/>
    </row>
    <row r="122">
      <c r="A122" s="18" t="n"/>
      <c r="B122" s="18" t="n"/>
      <c r="C122" s="19" t="n"/>
      <c r="D122" s="20" t="n"/>
    </row>
    <row r="123">
      <c r="A123" s="18" t="n"/>
      <c r="B123" s="18" t="n"/>
      <c r="C123" s="19" t="n"/>
      <c r="D123" s="20" t="n"/>
    </row>
    <row r="124">
      <c r="A124" s="18" t="n"/>
      <c r="B124" s="18" t="n"/>
      <c r="C124" s="19" t="n"/>
      <c r="D124" s="20" t="n"/>
    </row>
    <row r="125">
      <c r="A125" s="18" t="n"/>
      <c r="B125" s="18" t="n"/>
      <c r="C125" s="19" t="n"/>
      <c r="D125" s="20" t="n"/>
    </row>
    <row r="126">
      <c r="A126" s="18" t="n"/>
      <c r="B126" s="18" t="n"/>
      <c r="C126" s="19" t="n"/>
      <c r="D126" s="20" t="n"/>
    </row>
    <row r="127">
      <c r="A127" s="18" t="n"/>
      <c r="B127" s="18" t="n"/>
      <c r="C127" s="19" t="n"/>
      <c r="D127" s="20" t="n"/>
    </row>
    <row r="128">
      <c r="A128" s="18" t="n"/>
      <c r="B128" s="18" t="n"/>
      <c r="C128" s="19" t="n"/>
      <c r="D128" s="20" t="n"/>
    </row>
    <row r="129">
      <c r="A129" s="18" t="n"/>
      <c r="B129" s="18" t="n"/>
      <c r="C129" s="19" t="n"/>
      <c r="D129" s="20" t="n"/>
    </row>
    <row r="130">
      <c r="A130" s="18" t="n"/>
      <c r="B130" s="18" t="n"/>
      <c r="C130" s="19" t="n"/>
      <c r="D130" s="20" t="n"/>
    </row>
    <row r="131">
      <c r="A131" s="18" t="n"/>
      <c r="B131" s="18" t="n"/>
      <c r="C131" s="19" t="n"/>
      <c r="D131" s="20" t="n"/>
    </row>
    <row r="132">
      <c r="A132" s="18" t="n"/>
      <c r="B132" s="18" t="n"/>
      <c r="C132" s="19" t="n"/>
      <c r="D132" s="20" t="n"/>
    </row>
    <row r="133">
      <c r="A133" s="18" t="n"/>
      <c r="B133" s="18" t="n"/>
      <c r="C133" s="19" t="n"/>
      <c r="D133" s="20" t="n"/>
    </row>
    <row r="134">
      <c r="A134" s="18" t="n"/>
      <c r="B134" s="18" t="n"/>
      <c r="C134" s="19" t="n"/>
      <c r="D134" s="20" t="n"/>
    </row>
    <row r="135">
      <c r="A135" s="18" t="n"/>
      <c r="B135" s="18" t="n"/>
      <c r="C135" s="19" t="n"/>
      <c r="D135" s="20" t="n"/>
    </row>
    <row r="136">
      <c r="A136" s="18" t="n"/>
      <c r="B136" s="18" t="n"/>
      <c r="C136" s="19" t="n"/>
      <c r="D136" s="20" t="n"/>
    </row>
    <row r="137">
      <c r="A137" s="18" t="n"/>
      <c r="B137" s="18" t="n"/>
      <c r="C137" s="19" t="n"/>
      <c r="D137" s="20" t="n"/>
    </row>
    <row r="138">
      <c r="A138" s="18" t="n"/>
      <c r="B138" s="18" t="n"/>
      <c r="C138" s="19" t="n"/>
      <c r="D138" s="20" t="n"/>
    </row>
    <row r="139">
      <c r="A139" s="18" t="n"/>
      <c r="B139" s="18" t="n"/>
      <c r="C139" s="19" t="n"/>
      <c r="D139" s="20" t="n"/>
    </row>
    <row r="140">
      <c r="A140" s="18" t="n"/>
      <c r="B140" s="18" t="n"/>
      <c r="C140" s="19" t="n"/>
      <c r="D140" s="20" t="n"/>
    </row>
    <row r="141">
      <c r="A141" s="18" t="n"/>
      <c r="B141" s="18" t="n"/>
      <c r="C141" s="19" t="n"/>
      <c r="D141" s="20" t="n"/>
    </row>
    <row r="142">
      <c r="A142" s="18" t="n"/>
      <c r="B142" s="18" t="n"/>
      <c r="C142" s="19" t="n"/>
      <c r="D142" s="20" t="n"/>
    </row>
    <row r="143">
      <c r="A143" s="18" t="n"/>
      <c r="B143" s="18" t="n"/>
      <c r="C143" s="19" t="n"/>
      <c r="D143" s="20" t="n"/>
    </row>
    <row r="144">
      <c r="A144" s="18" t="n"/>
      <c r="B144" s="18" t="n"/>
      <c r="C144" s="19" t="n"/>
      <c r="D144" s="20" t="n"/>
    </row>
    <row r="145">
      <c r="A145" s="18" t="n"/>
      <c r="B145" s="18" t="n"/>
      <c r="C145" s="19" t="n"/>
      <c r="D145" s="20" t="n"/>
    </row>
    <row r="146">
      <c r="A146" s="18" t="n"/>
      <c r="B146" s="18" t="n"/>
      <c r="C146" s="19" t="n"/>
      <c r="D146" s="20" t="n"/>
    </row>
    <row r="147">
      <c r="A147" s="18" t="n"/>
      <c r="B147" s="18" t="n"/>
      <c r="C147" s="19" t="n"/>
      <c r="D147" s="20" t="n"/>
    </row>
    <row r="148">
      <c r="A148" s="18" t="n"/>
      <c r="B148" s="18" t="n"/>
      <c r="C148" s="19" t="n"/>
      <c r="D148" s="20" t="n"/>
    </row>
    <row r="149">
      <c r="A149" s="18" t="n"/>
      <c r="B149" s="18" t="n"/>
      <c r="C149" s="19" t="n"/>
      <c r="D149" s="20" t="n"/>
    </row>
    <row r="150">
      <c r="A150" s="18" t="n"/>
      <c r="B150" s="18" t="n"/>
      <c r="C150" s="19" t="n"/>
      <c r="D150" s="20" t="n"/>
    </row>
    <row r="151">
      <c r="A151" s="18" t="n"/>
      <c r="B151" s="18" t="n"/>
      <c r="C151" s="19" t="n"/>
      <c r="D151" s="20" t="n"/>
    </row>
    <row r="152">
      <c r="A152" s="18" t="n"/>
      <c r="B152" s="18" t="n"/>
      <c r="C152" s="19" t="n"/>
      <c r="D152" s="20" t="n"/>
    </row>
    <row r="153">
      <c r="A153" s="18" t="n"/>
      <c r="B153" s="18" t="n"/>
      <c r="C153" s="19" t="n"/>
      <c r="D153" s="20" t="n"/>
    </row>
    <row r="154">
      <c r="A154" s="18" t="n"/>
      <c r="B154" s="18" t="n"/>
      <c r="C154" s="19" t="n"/>
      <c r="D154" s="20" t="n"/>
    </row>
    <row r="155">
      <c r="A155" s="18" t="n"/>
      <c r="B155" s="18" t="n"/>
      <c r="C155" s="19" t="n"/>
      <c r="D155" s="20" t="n"/>
    </row>
    <row r="156">
      <c r="A156" s="18" t="n"/>
      <c r="B156" s="18" t="n"/>
      <c r="C156" s="19" t="n"/>
      <c r="D156" s="20" t="n"/>
    </row>
    <row r="157">
      <c r="A157" s="18" t="n"/>
      <c r="B157" s="18" t="n"/>
      <c r="C157" s="19" t="n"/>
      <c r="D157" s="20" t="n"/>
    </row>
    <row r="158">
      <c r="A158" s="18" t="n"/>
      <c r="B158" s="18" t="n"/>
      <c r="C158" s="19" t="n"/>
      <c r="D158" s="20" t="n"/>
    </row>
    <row r="159">
      <c r="A159" s="18" t="n"/>
      <c r="B159" s="18" t="n"/>
      <c r="C159" s="19" t="n"/>
      <c r="D159" s="20" t="n"/>
    </row>
    <row r="160">
      <c r="A160" s="18" t="n"/>
      <c r="B160" s="18" t="n"/>
      <c r="C160" s="19" t="n"/>
      <c r="D160" s="20" t="n"/>
    </row>
    <row r="161">
      <c r="A161" s="18" t="n"/>
      <c r="B161" s="18" t="n"/>
      <c r="C161" s="19" t="n"/>
      <c r="D161" s="20" t="n"/>
    </row>
    <row r="162">
      <c r="A162" s="18" t="n"/>
      <c r="B162" s="18" t="n"/>
      <c r="C162" s="19" t="n"/>
      <c r="D162" s="20" t="n"/>
    </row>
    <row r="163">
      <c r="A163" s="18" t="n"/>
      <c r="B163" s="18" t="n"/>
      <c r="C163" s="19" t="n"/>
      <c r="D163" s="20" t="n"/>
    </row>
    <row r="164">
      <c r="A164" s="18" t="n"/>
      <c r="B164" s="18" t="n"/>
      <c r="C164" s="19" t="n"/>
      <c r="D164" s="20" t="n"/>
    </row>
    <row r="165">
      <c r="A165" s="18" t="n"/>
      <c r="B165" s="18" t="n"/>
      <c r="C165" s="19" t="n"/>
      <c r="D165" s="20" t="n"/>
    </row>
    <row r="166">
      <c r="A166" s="18" t="n"/>
      <c r="B166" s="18" t="n"/>
      <c r="C166" s="19" t="n"/>
      <c r="D166" s="20" t="n"/>
    </row>
    <row r="167">
      <c r="A167" s="18" t="n"/>
      <c r="B167" s="18" t="n"/>
      <c r="C167" s="19" t="n"/>
      <c r="D167" s="20" t="n"/>
    </row>
    <row r="168">
      <c r="A168" s="18" t="n"/>
      <c r="B168" s="18" t="n"/>
      <c r="C168" s="19" t="n"/>
      <c r="D168" s="20" t="n"/>
    </row>
    <row r="169">
      <c r="A169" s="18" t="n"/>
      <c r="B169" s="18" t="n"/>
      <c r="C169" s="19" t="n"/>
      <c r="D169" s="20" t="n"/>
    </row>
    <row r="170">
      <c r="A170" s="18" t="n"/>
      <c r="B170" s="18" t="n"/>
      <c r="C170" s="19" t="n"/>
      <c r="D170" s="20" t="n"/>
    </row>
    <row r="171">
      <c r="A171" s="18" t="n"/>
      <c r="B171" s="18" t="n"/>
      <c r="C171" s="19" t="n"/>
      <c r="D171" s="20" t="n"/>
    </row>
    <row r="172">
      <c r="A172" s="18" t="n"/>
      <c r="B172" s="18" t="n"/>
      <c r="C172" s="19" t="n"/>
      <c r="D172" s="20" t="n"/>
    </row>
    <row r="173">
      <c r="A173" s="18" t="n"/>
      <c r="B173" s="18" t="n"/>
      <c r="C173" s="19" t="n"/>
      <c r="D173" s="20" t="n"/>
    </row>
    <row r="174">
      <c r="A174" s="18" t="n"/>
      <c r="B174" s="18" t="n"/>
      <c r="C174" s="19" t="n"/>
      <c r="D174" s="20" t="n"/>
    </row>
    <row r="175">
      <c r="A175" s="18" t="n"/>
      <c r="B175" s="18" t="n"/>
      <c r="C175" s="19" t="n"/>
      <c r="D175" s="20" t="n"/>
    </row>
    <row r="176">
      <c r="A176" s="18" t="n"/>
      <c r="B176" s="18" t="n"/>
      <c r="C176" s="19" t="n"/>
      <c r="D176" s="20" t="n"/>
    </row>
    <row r="177">
      <c r="A177" s="18" t="n"/>
      <c r="B177" s="18" t="n"/>
      <c r="C177" s="19" t="n"/>
      <c r="D177" s="20" t="n"/>
    </row>
    <row r="178">
      <c r="A178" s="18" t="n"/>
      <c r="B178" s="18" t="n"/>
      <c r="C178" s="19" t="n"/>
      <c r="D178" s="20" t="n"/>
    </row>
    <row r="179">
      <c r="A179" s="18" t="n"/>
      <c r="B179" s="18" t="n"/>
      <c r="C179" s="19" t="n"/>
      <c r="D179" s="20" t="n"/>
    </row>
    <row r="180">
      <c r="A180" s="18" t="n"/>
      <c r="B180" s="18" t="n"/>
      <c r="C180" s="19" t="n"/>
      <c r="D180" s="20" t="n"/>
    </row>
    <row r="181">
      <c r="A181" s="18" t="n"/>
      <c r="B181" s="18" t="n"/>
      <c r="C181" s="19" t="n"/>
      <c r="D181" s="20" t="n"/>
    </row>
    <row r="182">
      <c r="A182" s="18" t="n"/>
      <c r="B182" s="18" t="n"/>
      <c r="C182" s="19" t="n"/>
      <c r="D182" s="20" t="n"/>
    </row>
    <row r="183">
      <c r="A183" s="18" t="n"/>
      <c r="B183" s="18" t="n"/>
      <c r="C183" s="19" t="n"/>
      <c r="D183" s="20" t="n"/>
    </row>
    <row r="184">
      <c r="A184" s="18" t="n"/>
      <c r="B184" s="18" t="n"/>
      <c r="C184" s="19" t="n"/>
      <c r="D184" s="20" t="n"/>
    </row>
    <row r="185">
      <c r="A185" s="18" t="n"/>
      <c r="B185" s="18" t="n"/>
      <c r="C185" s="19" t="n"/>
      <c r="D185" s="20" t="n"/>
    </row>
    <row r="186">
      <c r="A186" s="18" t="n"/>
      <c r="B186" s="18" t="n"/>
      <c r="C186" s="19" t="n"/>
      <c r="D186" s="20" t="n"/>
    </row>
    <row r="187">
      <c r="A187" s="18" t="n"/>
      <c r="B187" s="18" t="n"/>
      <c r="C187" s="19" t="n"/>
      <c r="D187" s="20" t="n"/>
    </row>
    <row r="188">
      <c r="A188" s="18" t="n"/>
      <c r="B188" s="18" t="n"/>
      <c r="C188" s="19" t="n"/>
      <c r="D188" s="20" t="n"/>
    </row>
    <row r="189">
      <c r="A189" s="18" t="n"/>
      <c r="B189" s="18" t="n"/>
      <c r="C189" s="19" t="n"/>
      <c r="D189" s="20" t="n"/>
    </row>
    <row r="190">
      <c r="A190" s="18" t="n"/>
      <c r="B190" s="18" t="n"/>
      <c r="C190" s="19" t="n"/>
      <c r="D190" s="20" t="n"/>
    </row>
    <row r="191">
      <c r="A191" s="18" t="n"/>
      <c r="B191" s="18" t="n"/>
      <c r="C191" s="19" t="n"/>
      <c r="D191" s="20" t="n"/>
    </row>
    <row r="192">
      <c r="A192" s="18" t="n"/>
      <c r="B192" s="18" t="n"/>
      <c r="C192" s="19" t="n"/>
      <c r="D192" s="20" t="n"/>
    </row>
    <row r="193">
      <c r="A193" s="18" t="n"/>
      <c r="B193" s="18" t="n"/>
      <c r="C193" s="19" t="n"/>
      <c r="D193" s="20" t="n"/>
    </row>
    <row r="194">
      <c r="A194" s="18" t="n"/>
      <c r="B194" s="18" t="n"/>
      <c r="C194" s="19" t="n"/>
      <c r="D194" s="20" t="n"/>
    </row>
    <row r="195">
      <c r="A195" s="18" t="n"/>
      <c r="B195" s="18" t="n"/>
      <c r="C195" s="19" t="n"/>
      <c r="D195" s="20" t="n"/>
    </row>
    <row r="196">
      <c r="A196" s="18" t="n"/>
      <c r="B196" s="18" t="n"/>
      <c r="C196" s="19" t="n"/>
      <c r="D196" s="20" t="n"/>
    </row>
    <row r="197">
      <c r="A197" s="18" t="n"/>
      <c r="B197" s="18" t="n"/>
      <c r="C197" s="19" t="n"/>
      <c r="D197" s="20" t="n"/>
    </row>
    <row r="198">
      <c r="A198" s="18" t="n"/>
      <c r="B198" s="18" t="n"/>
      <c r="C198" s="19" t="n"/>
      <c r="D198" s="20" t="n"/>
    </row>
    <row r="199">
      <c r="A199" s="18" t="n"/>
      <c r="B199" s="18" t="n"/>
      <c r="C199" s="19" t="n"/>
      <c r="D199" s="20" t="n"/>
    </row>
    <row r="200">
      <c r="A200" s="18" t="n"/>
      <c r="B200" s="18" t="n"/>
      <c r="C200" s="19" t="n"/>
      <c r="D200" s="20" t="n"/>
    </row>
    <row r="201">
      <c r="A201" s="18" t="n"/>
      <c r="B201" s="18" t="n"/>
      <c r="C201" s="19" t="n"/>
      <c r="D201" s="20" t="n"/>
    </row>
    <row r="202">
      <c r="A202" s="18" t="n"/>
      <c r="B202" s="18" t="n"/>
      <c r="C202" s="19" t="n"/>
      <c r="D202" s="20" t="n"/>
    </row>
    <row r="203">
      <c r="A203" s="18" t="n"/>
      <c r="B203" s="18" t="n"/>
      <c r="C203" s="19" t="n"/>
      <c r="D203" s="20" t="n"/>
    </row>
    <row r="204">
      <c r="A204" s="18" t="n"/>
      <c r="B204" s="18" t="n"/>
      <c r="C204" s="19" t="n"/>
      <c r="D204" s="20" t="n"/>
    </row>
    <row r="205">
      <c r="C205" s="21" t="inlineStr">
        <is>
          <t>Total Weighted Wager:</t>
        </is>
      </c>
      <c r="D205" s="22">
        <f>SUM(D5:D204)</f>
        <v/>
      </c>
    </row>
  </sheetData>
  <autoFilter ref="A4:D20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2" customWidth="1" min="4" max="4"/>
    <col width="14" customWidth="1" min="5" max="5"/>
    <col width="14" customWidth="1" min="6" max="6"/>
  </cols>
  <sheetData>
    <row r="1">
      <c r="A1" s="1" t="inlineStr">
        <is>
          <t>Yuri's Statistics</t>
        </is>
      </c>
    </row>
    <row r="3">
      <c r="A3" s="5" t="inlineStr">
        <is>
          <t>Total List (all players ever assigned)</t>
        </is>
      </c>
    </row>
    <row r="4" ht="28" customHeight="1">
      <c r="A4" s="7" t="inlineStr">
        <is>
          <t>Number of Contacts</t>
        </is>
      </c>
      <c r="B4" s="7" t="inlineStr">
        <is>
          <t>Number of VIP Transfers</t>
        </is>
      </c>
      <c r="C4" s="7" t="inlineStr">
        <is>
          <t>Number of Active Players</t>
        </is>
      </c>
      <c r="D4" s="7" t="inlineStr">
        <is>
          <t>Total Wagered (current)</t>
        </is>
      </c>
    </row>
    <row r="5">
      <c r="A5" s="23">
        <f>COUNTIF('Yuri - Book'!$B$4:$B$203,"&lt;&gt;")</f>
        <v/>
      </c>
      <c r="B5" s="23">
        <f>SUMPRODUCT(COUNTIF('Yuri - Book'!$E$4:$E$203,"VIP Transferred"))+SUMPRODUCT(COUNTIF('Yuri - Book'!$AC$4:$AC$203,"Yes"))</f>
        <v/>
      </c>
      <c r="C5" s="23">
        <f>SUMPRODUCT(COUNTIF('Yuri - Book'!$E$4:$E$203,{"Active"}))</f>
        <v/>
      </c>
      <c r="D5" s="24">
        <f>SUM('Yuri - Book'!$N$4:$N$203)</f>
        <v/>
      </c>
    </row>
    <row r="7">
      <c r="A7" s="5" t="inlineStr">
        <is>
          <t>Active List (currently active players only)</t>
        </is>
      </c>
    </row>
    <row r="8" ht="28" customHeight="1">
      <c r="A8" s="7" t="inlineStr">
        <is>
          <t>Number of Contacts</t>
        </is>
      </c>
      <c r="B8" s="7" t="inlineStr">
        <is>
          <t>Number of VIP Transfers</t>
        </is>
      </c>
      <c r="C8" s="7" t="inlineStr">
        <is>
          <t>Number of Active Players</t>
        </is>
      </c>
      <c r="D8" s="7" t="inlineStr">
        <is>
          <t>Number of FTDs</t>
        </is>
      </c>
    </row>
    <row r="9">
      <c r="A9" s="23">
        <f>SUMPRODUCT(COUNTIF('Yuri - Book'!$E$4:$E$203,{"Active"}))</f>
        <v/>
      </c>
      <c r="B9" s="23">
        <f>SUMPRODUCT(COUNTIF('Yuri - Book'!$E$4:$E$203,"VIP Transferred"))+SUMPRODUCT(COUNTIF('Yuri - Book'!$AC$4:$AC$203,"Yes"))</f>
        <v/>
      </c>
      <c r="C9" s="23">
        <f>SUMPRODUCT(COUNTIF('Yuri - Book'!$E$4:$E$203,{"Active"}))</f>
        <v/>
      </c>
      <c r="D9" s="23">
        <f>SUMPRODUCT(COUNTIF('Yuri - Book'!$E$4:$E$203,{"First Deposit","Active"}))</f>
        <v/>
      </c>
    </row>
    <row r="11" ht="28" customHeight="1">
      <c r="A11" s="25" t="inlineStr">
        <is>
          <t>Note: wager figures are a running total from the Weighted Wager column in his Book. A dedicated monthly/YTD wager log can be added in Phase 2 once wager data is fed in regularly.</t>
        </is>
      </c>
    </row>
    <row r="12">
      <c r="A12" s="5" t="inlineStr">
        <is>
          <t>Today vs. Target</t>
        </is>
      </c>
    </row>
    <row r="13" ht="24" customHeight="1">
      <c r="A13" s="7" t="inlineStr">
        <is>
          <t>Active Leads Today</t>
        </is>
      </c>
      <c r="B13" s="7" t="inlineStr">
        <is>
          <t>Active Leads Target</t>
        </is>
      </c>
      <c r="C13" s="7" t="inlineStr">
        <is>
          <t>VIP Transfers Today</t>
        </is>
      </c>
      <c r="D13" s="7" t="inlineStr">
        <is>
          <t>VIP Transfers Target</t>
        </is>
      </c>
      <c r="E13" s="7" t="inlineStr">
        <is>
          <t>FTD Today</t>
        </is>
      </c>
      <c r="F13" s="7" t="inlineStr">
        <is>
          <t>FTD Target</t>
        </is>
      </c>
    </row>
    <row r="14">
      <c r="A14" s="23">
        <f>COUNTIFS('Yuri - Book'!$H$4:$H$203,TODAY(),'Yuri - Book'!$E$4:$E$203,"&lt;&gt;Dead Lead",'Yuri - Book'!$E$4:$E$203,"&lt;&gt;Potential Lead")</f>
        <v/>
      </c>
      <c r="B14" s="23">
        <f>IFERROR(INDEX('Team &amp; KPI Targets'!$E$5:$E$5,MATCH("Yuri",'Team &amp; KPI Targets'!$A$5:$A$5,0)),"TBD")</f>
        <v/>
      </c>
      <c r="C14" s="23">
        <f>COUNTIFS('Yuri - Activity Log'!$A$5:$A$5000,TODAY(),'Yuri - Activity Log'!$C$5:$C$5000,"VIP Transfer")+COUNTIFS('Yuri - Activity Log'!$A$5:$A$5000,TODAY(),'Yuri - Activity Log'!$C$5:$C$5000,"*-&gt; VIP Transferred")</f>
        <v/>
      </c>
      <c r="D14" s="23">
        <f>IFERROR(INDEX('Team &amp; KPI Targets'!$F$5:$F$5,MATCH("Yuri",'Team &amp; KPI Targets'!$A$5:$A$5,0)),"TBD")</f>
        <v/>
      </c>
      <c r="E14" s="23">
        <f>COUNTIFS('Yuri - Activity Log'!$A$5:$A$5000,TODAY(),'Yuri - Activity Log'!$C$5:$C$5000,"*-&gt; First Deposit")</f>
        <v/>
      </c>
      <c r="F14" s="23">
        <f>IFERROR(INDEX('Team &amp; KPI Targets'!$G$5:$G$5,MATCH("Yuri",'Team &amp; KPI Targets'!$A$5:$A$5,0)),"TBD")</f>
        <v/>
      </c>
    </row>
    <row r="16">
      <c r="A16" s="5" t="inlineStr">
        <is>
          <t>This Week (Mon-today) / This Month (1st-today)</t>
        </is>
      </c>
    </row>
    <row r="17" ht="24" customHeight="1">
      <c r="A17" s="7" t="inlineStr">
        <is>
          <t>Period</t>
        </is>
      </c>
      <c r="B17" s="7" t="inlineStr">
        <is>
          <t>Active Leads</t>
        </is>
      </c>
      <c r="C17" s="7" t="inlineStr">
        <is>
          <t>VIP Transfers</t>
        </is>
      </c>
      <c r="D17" s="7" t="inlineStr">
        <is>
          <t>FTD</t>
        </is>
      </c>
    </row>
    <row r="18">
      <c r="A18" s="26" t="inlineStr">
        <is>
          <t>This Week</t>
        </is>
      </c>
      <c r="B18" s="27">
        <f>COUNTIFS('Yuri - Book'!$H$4:$H$203,"&gt;="&amp;(TODAY()-WEEKDAY(TODAY(),3)),'Yuri - Book'!$H$4:$H$203,"&lt;="&amp;TODAY(),'Yuri - Book'!$E$4:$E$203,"&lt;&gt;Dead Lead",'Yuri - Book'!$E$4:$E$203,"&lt;&gt;Potential Lead")</f>
        <v/>
      </c>
      <c r="C18" s="27">
        <f>COUNTIFS('Yuri - Activity Log'!$A$5:$A$5000,"&gt;="&amp;(TODAY()-WEEKDAY(TODAY(),3)),'Yuri - Activity Log'!$A$5:$A$5000,"&lt;="&amp;TODAY(),'Yuri - Activity Log'!$C$5:$C$5000,"VIP Transfer")+COUNTIFS('Yuri - Activity Log'!$A$5:$A$5000,"&gt;="&amp;(TODAY()-WEEKDAY(TODAY(),3)),'Yuri - Activity Log'!$A$5:$A$5000,"&lt;="&amp;TODAY(),'Yuri - Activity Log'!$C$5:$C$5000,"*-&gt; VIP Transferred")</f>
        <v/>
      </c>
      <c r="D18" s="27">
        <f>COUNTIFS('Yuri - Activity Log'!$A$5:$A$5000,"&gt;="&amp;(TODAY()-WEEKDAY(TODAY(),3)),'Yuri - Activity Log'!$A$5:$A$5000,"&lt;="&amp;TODAY(),'Yuri - Activity Log'!$C$5:$C$5000,"*-&gt; First Deposit")</f>
        <v/>
      </c>
    </row>
    <row r="19">
      <c r="A19" s="26" t="inlineStr">
        <is>
          <t>This Month</t>
        </is>
      </c>
      <c r="B19" s="27">
        <f>COUNTIFS('Yuri - Book'!$H$4:$H$203,"&gt;="&amp;DATE(YEAR(TODAY()),MONTH(TODAY()),1),'Yuri - Book'!$H$4:$H$203,"&lt;="&amp;TODAY(),'Yuri - Book'!$E$4:$E$203,"&lt;&gt;Dead Lead",'Yuri - Book'!$E$4:$E$203,"&lt;&gt;Potential Lead")</f>
        <v/>
      </c>
      <c r="C19" s="27">
        <f>COUNTIFS('Yuri - Activity Log'!$A$5:$A$5000,"&gt;="&amp;DATE(YEAR(TODAY()),MONTH(TODAY()),1),'Yuri - Activity Log'!$A$5:$A$5000,"&lt;="&amp;TODAY(),'Yuri - Activity Log'!$C$5:$C$5000,"VIP Transfer")+COUNTIFS('Yuri - Activity Log'!$A$5:$A$5000,"&gt;="&amp;DATE(YEAR(TODAY()),MONTH(TODAY()),1),'Yuri - Activity Log'!$A$5:$A$5000,"&lt;="&amp;TODAY(),'Yuri - Activity Log'!$C$5:$C$5000,"*-&gt; VIP Transferred")</f>
        <v/>
      </c>
      <c r="D19" s="27">
        <f>COUNTIFS('Yuri - Activity Log'!$A$5:$A$5000,"&gt;="&amp;DATE(YEAR(TODAY()),MONTH(TODAY()),1),'Yuri - Activity Log'!$A$5:$A$5000,"&lt;="&amp;TODAY(),'Yuri - Activity Log'!$C$5:$C$5000,"*-&gt; First Deposit")</f>
        <v/>
      </c>
    </row>
    <row r="21" ht="28" customHeight="1">
      <c r="A21" s="25" t="inlineStr">
        <is>
          <t>Build a trend chart: select A17:D19 above, then Insert &gt; Chart in Google Sheets. Takes 10 seconds and updates itself as new weeks/months pass.</t>
        </is>
      </c>
    </row>
    <row r="23">
      <c r="A23" s="5" t="inlineStr">
        <is>
          <t>Current Status Breakdown (live count, right now - informational only, not a KPI)</t>
        </is>
      </c>
    </row>
    <row r="24" ht="24" customHeight="1">
      <c r="A24" s="7" t="inlineStr">
        <is>
          <t>Status</t>
        </is>
      </c>
      <c r="B24" s="7" t="inlineStr">
        <is>
          <t>Count</t>
        </is>
      </c>
    </row>
    <row r="25">
      <c r="A25" s="28" t="inlineStr">
        <is>
          <t>Initial Contact</t>
        </is>
      </c>
      <c r="B25" s="29">
        <f>COUNTIF('Yuri - Book'!$E$4:$E$203,"Initial Contact")</f>
        <v/>
      </c>
    </row>
    <row r="26">
      <c r="A26" s="28" t="inlineStr">
        <is>
          <t>Interested</t>
        </is>
      </c>
      <c r="B26" s="29">
        <f>COUNTIF('Yuri - Book'!$E$4:$E$203,"Interested")</f>
        <v/>
      </c>
    </row>
    <row r="27">
      <c r="A27" s="28" t="inlineStr">
        <is>
          <t>VIP Transferred</t>
        </is>
      </c>
      <c r="B27" s="29">
        <f>COUNTIF('Yuri - Book'!$E$4:$E$203,"VIP Transferred")</f>
        <v/>
      </c>
    </row>
    <row r="28">
      <c r="A28" s="28" t="inlineStr">
        <is>
          <t>KYC Complete</t>
        </is>
      </c>
      <c r="B28" s="29">
        <f>COUNTIF('Yuri - Book'!$E$4:$E$203,"KYC Complete")</f>
        <v/>
      </c>
    </row>
    <row r="29">
      <c r="A29" s="28" t="inlineStr">
        <is>
          <t>First Deposit</t>
        </is>
      </c>
      <c r="B29" s="29">
        <f>COUNTIF('Yuri - Book'!$E$4:$E$203,"First Deposit")</f>
        <v/>
      </c>
    </row>
    <row r="30">
      <c r="A30" s="28" t="inlineStr">
        <is>
          <t>Active</t>
        </is>
      </c>
      <c r="B30" s="29">
        <f>COUNTIF('Yuri - Book'!$E$4:$E$203,"Active")</f>
        <v/>
      </c>
    </row>
    <row r="31">
      <c r="A31" s="28" t="inlineStr">
        <is>
          <t>Reactivation Queue</t>
        </is>
      </c>
      <c r="B31" s="29">
        <f>COUNTIF('Yuri - Book'!$E$4:$E$203,"Reactivation Queue")</f>
        <v/>
      </c>
    </row>
    <row r="32">
      <c r="A32" s="28" t="inlineStr">
        <is>
          <t>Dead Lead</t>
        </is>
      </c>
      <c r="B32" s="29">
        <f>COUNTIF('Yuri - Book'!$E$4:$E$203,"Dead Lead")</f>
        <v/>
      </c>
    </row>
    <row r="33">
      <c r="A33" s="28" t="inlineStr">
        <is>
          <t>Potential Lead</t>
        </is>
      </c>
      <c r="B33" s="29">
        <f>COUNTIF('Yuri - Book'!$E$4:$E$203,"Potential Lead")</f>
        <v/>
      </c>
    </row>
  </sheetData>
  <conditionalFormatting sqref="A14">
    <cfRule type="expression" priority="1" dxfId="3">
      <formula>AND(ISNUMBER($B14),$A14&gt;=$B14)</formula>
    </cfRule>
    <cfRule type="expression" priority="2" dxfId="1">
      <formula>AND(ISNUMBER($B14),$A14&lt;$B14)</formula>
    </cfRule>
  </conditionalFormatting>
  <conditionalFormatting sqref="C14">
    <cfRule type="expression" priority="3" dxfId="3">
      <formula>AND(ISNUMBER($D14),$C14&gt;=$D14)</formula>
    </cfRule>
    <cfRule type="expression" priority="4" dxfId="1">
      <formula>AND(ISNUMBER($D14),$C14&lt;$D14)</formula>
    </cfRule>
  </conditionalFormatting>
  <conditionalFormatting sqref="E14">
    <cfRule type="expression" priority="5" dxfId="3">
      <formula>AND(ISNUMBER($F14),$E14&gt;=$F14)</formula>
    </cfRule>
    <cfRule type="expression" priority="6" dxfId="1">
      <formula>AND(ISNUMBER($F14),$E14&lt;$F14)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0" customWidth="1" min="5" max="5"/>
  </cols>
  <sheetData>
    <row r="1">
      <c r="A1" s="1" t="inlineStr">
        <is>
          <t>Yuri's Activity Log</t>
        </is>
      </c>
    </row>
    <row r="2">
      <c r="A2" s="6" t="inlineStr">
        <is>
          <t>Auto-filled by the script - one row per event (new contact, follow-up, VIP transfer). Don't edit this by hand. This is what powers the Weekly/Monthly numbers on the Stats tab.</t>
        </is>
      </c>
    </row>
    <row r="4" ht="24" customHeight="1">
      <c r="A4" s="7" t="inlineStr">
        <is>
          <t>Date</t>
        </is>
      </c>
      <c r="B4" s="7" t="inlineStr">
        <is>
          <t>Rep</t>
        </is>
      </c>
      <c r="C4" s="7" t="inlineStr">
        <is>
          <t>Event Type</t>
        </is>
      </c>
      <c r="D4" s="7" t="inlineStr">
        <is>
          <t>Player ID</t>
        </is>
      </c>
      <c r="E4" s="7" t="inlineStr">
        <is>
          <t>Player Handle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2026-08-16T16:59:06Z</dcterms:created>
  <dcterms:modified xmlns:dcterms="http://purl.org/dc/terms/" xmlns:xsi="http://www.w3.org/2001/XMLSchema-instance" xsi:type="dcterms:W3CDTF">2026-08-16T16:59:06Z</dcterms:modified>
</cp:coreProperties>
</file>